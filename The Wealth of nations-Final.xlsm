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lbi\Downloads\"/>
    </mc:Choice>
  </mc:AlternateContent>
  <xr:revisionPtr revIDLastSave="0" documentId="8_{04162F7D-70B7-440A-B11D-80155523C632}" xr6:coauthVersionLast="47" xr6:coauthVersionMax="47" xr10:uidLastSave="{00000000-0000-0000-0000-000000000000}"/>
  <bookViews>
    <workbookView xWindow="-8800" yWindow="-20890" windowWidth="25240" windowHeight="20020" activeTab="3" xr2:uid="{102E0DD2-7435-4114-B18B-FB7D4F8724CB}"/>
  </bookViews>
  <sheets>
    <sheet name="GDP" sheetId="7" r:id="rId1"/>
    <sheet name="GDP (2)" sheetId="24" r:id="rId2"/>
    <sheet name="Chart3" sheetId="23" r:id="rId3"/>
    <sheet name="Top 20 Ranked for 2019" sheetId="21" r:id="rId4"/>
    <sheet name="Chart1" sheetId="20" r:id="rId5"/>
    <sheet name="Life Expectancy" sheetId="11" r:id="rId6"/>
    <sheet name="Sheet1" sheetId="25" r:id="rId7"/>
    <sheet name="Smartphones" sheetId="19" r:id="rId8"/>
  </sheets>
  <definedNames>
    <definedName name="_xlcn.WorksheetConnection_TheWealthofnationsFinal.xlsmLifeExpectancy" hidden="1">LifeExpectancy[]</definedName>
    <definedName name="_xlcn.WorksheetConnection_TheWealthofnationsFinal.xlsmSmartphones" hidden="1">Smartphones[]</definedName>
    <definedName name="_xlcn.WorksheetConnection_TheWealthofnationsFinal.xlsmTableGDP" hidden="1">TableGDP[]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GDP" name="TableGDP" connection="WorksheetConnection_The Wealth of nations-Final.xlsm!TableGDP"/>
          <x15:modelTable id="LifeExpectancy" name="LifeExpectancy" connection="WorksheetConnection_The Wealth of nations-Final.xlsm!LifeExpectancy"/>
          <x15:modelTable id="Smartphones" name="Smartphones" connection="WorksheetConnection_The Wealth of nations-Final.xlsm!Smartphones"/>
        </x15:modelTables>
        <x15:modelRelationships>
          <x15:modelRelationship fromTable="TableGDP" fromColumn="Country" toTable="LifeExpectancy" toColumn="Country"/>
          <x15:modelRelationship fromTable="TableGDP" fromColumn="Country" toTable="Smartphones" toColumn="Countr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4" l="1" a="1"/>
  <c r="E6" i="24" s="1"/>
  <c r="E2" i="24" a="1"/>
  <c r="E2" i="24" s="1"/>
  <c r="E8" i="24" a="1"/>
  <c r="E8" i="24" s="1"/>
  <c r="E228" i="24" a="1"/>
  <c r="E228" i="24" s="1"/>
  <c r="E226" i="24" a="1"/>
  <c r="E226" i="24" s="1"/>
  <c r="E225" i="24" a="1"/>
  <c r="E225" i="24" s="1"/>
  <c r="E224" i="24" a="1"/>
  <c r="E224" i="24" s="1"/>
  <c r="E223" i="24" a="1"/>
  <c r="E223" i="24" s="1"/>
  <c r="E222" i="24" a="1"/>
  <c r="E222" i="24" s="1"/>
  <c r="E221" i="24" a="1"/>
  <c r="E221" i="24" s="1"/>
  <c r="E220" i="24" a="1"/>
  <c r="E220" i="24" s="1"/>
  <c r="E219" i="24" a="1"/>
  <c r="E219" i="24" s="1"/>
  <c r="E217" i="24" a="1"/>
  <c r="E217" i="24" s="1"/>
  <c r="E216" i="24" a="1"/>
  <c r="E216" i="24" s="1"/>
  <c r="E214" i="24" a="1"/>
  <c r="E214" i="24" s="1"/>
  <c r="E213" i="24" a="1"/>
  <c r="E213" i="24" s="1"/>
  <c r="E212" i="24" a="1"/>
  <c r="E212" i="24" s="1"/>
  <c r="E211" i="24" a="1"/>
  <c r="E211" i="24" s="1"/>
  <c r="E210" i="24" a="1"/>
  <c r="E210" i="24" s="1"/>
  <c r="E209" i="24" a="1"/>
  <c r="E209" i="24" s="1"/>
  <c r="E208" i="24" a="1"/>
  <c r="E208" i="24" s="1"/>
  <c r="E207" i="24" a="1"/>
  <c r="E207" i="24" s="1"/>
  <c r="E206" i="24" a="1"/>
  <c r="E206" i="24" s="1"/>
  <c r="E205" i="24" a="1"/>
  <c r="E205" i="24" s="1"/>
  <c r="E203" i="24" a="1"/>
  <c r="E203" i="24" s="1"/>
  <c r="E202" i="24" a="1"/>
  <c r="E202" i="24" s="1"/>
  <c r="E201" i="24" a="1"/>
  <c r="E201" i="24" s="1"/>
  <c r="E200" i="24" a="1"/>
  <c r="E200" i="24" s="1"/>
  <c r="E199" i="24" a="1"/>
  <c r="E199" i="24" s="1"/>
  <c r="E197" i="24" a="1"/>
  <c r="E197" i="24" s="1"/>
  <c r="E196" i="24" a="1"/>
  <c r="E196" i="24" s="1"/>
  <c r="E195" i="24" a="1"/>
  <c r="E195" i="24" s="1"/>
  <c r="E194" i="24" a="1"/>
  <c r="E194" i="24" s="1"/>
  <c r="E193" i="24" a="1"/>
  <c r="E193" i="24" s="1"/>
  <c r="E192" i="24" a="1"/>
  <c r="E192" i="24" s="1"/>
  <c r="E191" i="24" a="1"/>
  <c r="E191" i="24" s="1"/>
  <c r="E189" i="24" a="1"/>
  <c r="E189" i="24" s="1"/>
  <c r="E188" i="24" a="1"/>
  <c r="E188" i="24" s="1"/>
  <c r="E187" i="24" a="1"/>
  <c r="E187" i="24" s="1"/>
  <c r="E186" i="24" a="1"/>
  <c r="E186" i="24" s="1"/>
  <c r="E183" i="24" a="1"/>
  <c r="E183" i="24" s="1"/>
  <c r="E182" i="24" a="1"/>
  <c r="E182" i="24" s="1"/>
  <c r="E181" i="24" a="1"/>
  <c r="E181" i="24" s="1"/>
  <c r="E180" i="24" a="1"/>
  <c r="E180" i="24" s="1"/>
  <c r="E179" i="24" a="1"/>
  <c r="E179" i="24" s="1"/>
  <c r="E178" i="24" a="1"/>
  <c r="E178" i="24" s="1"/>
  <c r="E177" i="24" a="1"/>
  <c r="E177" i="24" s="1"/>
  <c r="E176" i="24" a="1"/>
  <c r="E176" i="24" s="1"/>
  <c r="E175" i="24" a="1"/>
  <c r="E175" i="24" s="1"/>
  <c r="E174" i="24" a="1"/>
  <c r="E174" i="24" s="1"/>
  <c r="E173" i="24" a="1"/>
  <c r="E173" i="24" s="1"/>
  <c r="E172" i="24" a="1"/>
  <c r="E172" i="24" s="1"/>
  <c r="E171" i="24" a="1"/>
  <c r="E171" i="24" s="1"/>
  <c r="E170" i="24" a="1"/>
  <c r="E170" i="24" s="1"/>
  <c r="E169" i="24" a="1"/>
  <c r="E169" i="24" s="1"/>
  <c r="E168" i="24" a="1"/>
  <c r="E168" i="24" s="1"/>
  <c r="E167" i="24" a="1"/>
  <c r="E167" i="24" s="1"/>
  <c r="E164" i="24" a="1"/>
  <c r="E164" i="24" s="1"/>
  <c r="E163" i="24" a="1"/>
  <c r="E163" i="24" s="1"/>
  <c r="E162" i="24" a="1"/>
  <c r="E162" i="24" s="1"/>
  <c r="E161" i="24" a="1"/>
  <c r="E161" i="24" s="1"/>
  <c r="E160" i="24" a="1"/>
  <c r="E160" i="24" s="1"/>
  <c r="E159" i="24" a="1"/>
  <c r="E159" i="24" s="1"/>
  <c r="E158" i="24" a="1"/>
  <c r="E158" i="24" s="1"/>
  <c r="E157" i="24" a="1"/>
  <c r="E157" i="24" s="1"/>
  <c r="E156" i="24" a="1"/>
  <c r="E156" i="24" s="1"/>
  <c r="E154" i="24" a="1"/>
  <c r="E154" i="24" s="1"/>
  <c r="E153" i="24" a="1"/>
  <c r="E153" i="24" s="1"/>
  <c r="E152" i="24" a="1"/>
  <c r="E152" i="24" s="1"/>
  <c r="E151" i="24" a="1"/>
  <c r="E151" i="24" s="1"/>
  <c r="E150" i="24" a="1"/>
  <c r="E150" i="24" s="1"/>
  <c r="E149" i="24" a="1"/>
  <c r="E149" i="24" s="1"/>
  <c r="E148" i="24" a="1"/>
  <c r="E148" i="24" s="1"/>
  <c r="E147" i="24" a="1"/>
  <c r="E147" i="24" s="1"/>
  <c r="E146" i="24" a="1"/>
  <c r="E146" i="24" s="1"/>
  <c r="E145" i="24" a="1"/>
  <c r="E145" i="24" s="1"/>
  <c r="E144" i="24" a="1"/>
  <c r="E144" i="24" s="1"/>
  <c r="E143" i="24" a="1"/>
  <c r="E143" i="24" s="1"/>
  <c r="E141" i="24" a="1"/>
  <c r="E141" i="24" s="1"/>
  <c r="E140" i="24" a="1"/>
  <c r="E140" i="24" s="1"/>
  <c r="E139" i="24" a="1"/>
  <c r="E139" i="24" s="1"/>
  <c r="E138" i="24" a="1"/>
  <c r="E138" i="24" s="1"/>
  <c r="E137" i="24" a="1"/>
  <c r="E137" i="24" s="1"/>
  <c r="E136" i="24" a="1"/>
  <c r="E136" i="24" s="1"/>
  <c r="E135" i="24" a="1"/>
  <c r="E135" i="24" s="1"/>
  <c r="E134" i="24" a="1"/>
  <c r="E134" i="24" s="1"/>
  <c r="E131" i="24" a="1"/>
  <c r="E131" i="24" s="1"/>
  <c r="E130" i="24" a="1"/>
  <c r="E130" i="24" s="1"/>
  <c r="E129" i="24" a="1"/>
  <c r="E129" i="24" s="1"/>
  <c r="E128" i="24" a="1"/>
  <c r="E128" i="24" s="1"/>
  <c r="E127" i="24" a="1"/>
  <c r="E127" i="24" s="1"/>
  <c r="E126" i="24" a="1"/>
  <c r="E126" i="24" s="1"/>
  <c r="E125" i="24" a="1"/>
  <c r="E125" i="24" s="1"/>
  <c r="E124" i="24" a="1"/>
  <c r="E124" i="24" s="1"/>
  <c r="E123" i="24" a="1"/>
  <c r="E123" i="24" s="1"/>
  <c r="E122" i="24" a="1"/>
  <c r="E122" i="24" s="1"/>
  <c r="E121" i="24" a="1"/>
  <c r="E121" i="24" s="1"/>
  <c r="E120" i="24" a="1"/>
  <c r="E120" i="24" s="1"/>
  <c r="E119" i="24" a="1"/>
  <c r="E119" i="24" s="1"/>
  <c r="E118" i="24" a="1"/>
  <c r="E118" i="24" s="1"/>
  <c r="E117" i="24" a="1"/>
  <c r="E117" i="24" s="1"/>
  <c r="E116" i="24" a="1"/>
  <c r="E116" i="24" s="1"/>
  <c r="E115" i="24" a="1"/>
  <c r="E115" i="24" s="1"/>
  <c r="E113" i="24" a="1"/>
  <c r="E113" i="24" s="1"/>
  <c r="E112" i="24" a="1"/>
  <c r="E112" i="24" s="1"/>
  <c r="E111" i="24" a="1"/>
  <c r="E111" i="24" s="1"/>
  <c r="E110" i="24" a="1"/>
  <c r="E110" i="24" s="1"/>
  <c r="E109" i="24" a="1"/>
  <c r="E109" i="24" s="1"/>
  <c r="E108" i="24" a="1"/>
  <c r="E108" i="24" s="1"/>
  <c r="E107" i="24" a="1"/>
  <c r="E107" i="24" s="1"/>
  <c r="E106" i="24" a="1"/>
  <c r="E106" i="24" s="1"/>
  <c r="E105" i="24" a="1"/>
  <c r="E105" i="24" s="1"/>
  <c r="E102" i="24" a="1"/>
  <c r="E102" i="24" s="1"/>
  <c r="E100" i="24" a="1"/>
  <c r="E100" i="24" s="1"/>
  <c r="E99" i="24" a="1"/>
  <c r="E99" i="24" s="1"/>
  <c r="E98" i="24" a="1"/>
  <c r="E98" i="24" s="1"/>
  <c r="E97" i="24" a="1"/>
  <c r="E97" i="24" s="1"/>
  <c r="E96" i="24" a="1"/>
  <c r="E96" i="24" s="1"/>
  <c r="E95" i="24" a="1"/>
  <c r="E95" i="24" s="1"/>
  <c r="E94" i="24" a="1"/>
  <c r="E94" i="24" s="1"/>
  <c r="E92" i="24" a="1"/>
  <c r="E92" i="24" s="1"/>
  <c r="E91" i="24" a="1"/>
  <c r="E91" i="24" s="1"/>
  <c r="E90" i="24" a="1"/>
  <c r="E90" i="24" s="1"/>
  <c r="E89" i="24" a="1"/>
  <c r="E89" i="24" s="1"/>
  <c r="E88" i="24" a="1"/>
  <c r="E88" i="24" s="1"/>
  <c r="E87" i="24" a="1"/>
  <c r="E87" i="24" s="1"/>
  <c r="E86" i="24" a="1"/>
  <c r="E86" i="24" s="1"/>
  <c r="E85" i="24" a="1"/>
  <c r="E85" i="24" s="1"/>
  <c r="E84" i="24" a="1"/>
  <c r="E84" i="24" s="1"/>
  <c r="E83" i="24" a="1"/>
  <c r="E83" i="24" s="1"/>
  <c r="E82" i="24" a="1"/>
  <c r="E82" i="24" s="1"/>
  <c r="E80" i="24" a="1"/>
  <c r="E80" i="24" s="1"/>
  <c r="E79" i="24" a="1"/>
  <c r="E79" i="24" s="1"/>
  <c r="E78" i="24" a="1"/>
  <c r="E78" i="24" s="1"/>
  <c r="E77" i="24" a="1"/>
  <c r="E77" i="24" s="1"/>
  <c r="E76" i="24" a="1"/>
  <c r="E76" i="24" s="1"/>
  <c r="E75" i="24" a="1"/>
  <c r="E75" i="24" s="1"/>
  <c r="E74" i="24" a="1"/>
  <c r="E74" i="24" s="1"/>
  <c r="E73" i="24" a="1"/>
  <c r="E73" i="24" s="1"/>
  <c r="E72" i="24" a="1"/>
  <c r="E72" i="24" s="1"/>
  <c r="E71" i="24" a="1"/>
  <c r="E71" i="24" s="1"/>
  <c r="E70" i="24" a="1"/>
  <c r="E70" i="24" s="1"/>
  <c r="E69" i="24" a="1"/>
  <c r="E69" i="24" s="1"/>
  <c r="E68" i="24" a="1"/>
  <c r="E68" i="24" s="1"/>
  <c r="E66" i="24" a="1"/>
  <c r="E66" i="24" s="1"/>
  <c r="E65" i="24" a="1"/>
  <c r="E65" i="24" s="1"/>
  <c r="E64" i="24" a="1"/>
  <c r="E64" i="24" s="1"/>
  <c r="E63" i="24" a="1"/>
  <c r="E63" i="24" s="1"/>
  <c r="E61" i="24" a="1"/>
  <c r="E61" i="24" s="1"/>
  <c r="E60" i="24" a="1"/>
  <c r="E60" i="24" s="1"/>
  <c r="E57" i="24" a="1"/>
  <c r="E57" i="24" s="1"/>
  <c r="E55" i="24" a="1"/>
  <c r="E55" i="24" s="1"/>
  <c r="E54" i="24" a="1"/>
  <c r="E54" i="24" s="1"/>
  <c r="E52" i="24" a="1"/>
  <c r="E52" i="24" s="1"/>
  <c r="E51" i="24" a="1"/>
  <c r="E51" i="24" s="1"/>
  <c r="E49" i="24" a="1"/>
  <c r="E49" i="24" s="1"/>
  <c r="E48" i="24" a="1"/>
  <c r="E48" i="24" s="1"/>
  <c r="E47" i="24" a="1"/>
  <c r="E47" i="24" s="1"/>
  <c r="E46" i="24" a="1"/>
  <c r="E46" i="24" s="1"/>
  <c r="E44" i="24" a="1"/>
  <c r="E44" i="24" s="1"/>
  <c r="E43" i="24" a="1"/>
  <c r="E43" i="24" s="1"/>
  <c r="E42" i="24" a="1"/>
  <c r="E42" i="24" s="1"/>
  <c r="E41" i="24" a="1"/>
  <c r="E41" i="24" s="1"/>
  <c r="E40" i="24" a="1"/>
  <c r="E40" i="24" s="1"/>
  <c r="E39" i="24" a="1"/>
  <c r="E39" i="24" s="1"/>
  <c r="E37" i="24" a="1"/>
  <c r="E37" i="24" s="1"/>
  <c r="E36" i="24" a="1"/>
  <c r="E36" i="24" s="1"/>
  <c r="E35" i="24" a="1"/>
  <c r="E35" i="24" s="1"/>
  <c r="E34" i="24" a="1"/>
  <c r="E34" i="24" s="1"/>
  <c r="E33" i="24" a="1"/>
  <c r="E33" i="24" s="1"/>
  <c r="E32" i="24" a="1"/>
  <c r="E32" i="24" s="1"/>
  <c r="E29" i="24" a="1"/>
  <c r="E29" i="24" s="1"/>
  <c r="E27" i="24" a="1"/>
  <c r="E27" i="24" s="1"/>
  <c r="E26" i="24" a="1"/>
  <c r="E26" i="24" s="1"/>
  <c r="E25" i="24" a="1"/>
  <c r="E25" i="24" s="1"/>
  <c r="E24" i="24" a="1"/>
  <c r="E24" i="24" s="1"/>
  <c r="E22" i="24" a="1"/>
  <c r="E22" i="24" s="1"/>
  <c r="E21" i="24" a="1"/>
  <c r="E21" i="24" s="1"/>
  <c r="E19" i="24" a="1"/>
  <c r="E19" i="24" s="1"/>
  <c r="E17" i="24" a="1"/>
  <c r="E17" i="24" s="1"/>
  <c r="E16" i="24" a="1"/>
  <c r="E16" i="24" s="1"/>
  <c r="E15" i="24" a="1"/>
  <c r="E15" i="24" s="1"/>
  <c r="E14" i="24" a="1"/>
  <c r="E14" i="24" s="1"/>
  <c r="E13" i="24" a="1"/>
  <c r="E13" i="24" s="1"/>
  <c r="E10" i="24" a="1"/>
  <c r="E10" i="24" s="1"/>
  <c r="E7" i="24" a="1"/>
  <c r="E7" i="24" s="1"/>
  <c r="E4" i="24" a="1"/>
  <c r="E4" i="24" s="1"/>
  <c r="E2" i="21" a="1"/>
  <c r="E2" i="21" s="1"/>
  <c r="E3" i="21" a="1"/>
  <c r="E3" i="21" s="1"/>
  <c r="E4" i="21" a="1"/>
  <c r="E4" i="21" s="1"/>
  <c r="E5" i="21" a="1"/>
  <c r="E5" i="21" s="1"/>
  <c r="E6" i="21" a="1"/>
  <c r="E6" i="21" s="1"/>
  <c r="E7" i="21" a="1"/>
  <c r="E7" i="21" s="1"/>
  <c r="E8" i="21" a="1"/>
  <c r="E8" i="21" s="1"/>
  <c r="E9" i="21" a="1"/>
  <c r="E9" i="21" s="1"/>
  <c r="E10" i="21" a="1"/>
  <c r="E10" i="21" s="1"/>
  <c r="E11" i="21" a="1"/>
  <c r="E11" i="21" s="1"/>
  <c r="E12" i="21" a="1"/>
  <c r="E12" i="21" s="1"/>
  <c r="E13" i="21" a="1"/>
  <c r="E13" i="21" s="1"/>
  <c r="E14" i="21" a="1"/>
  <c r="E14" i="21" s="1"/>
  <c r="E15" i="21" a="1"/>
  <c r="E15" i="21" s="1"/>
  <c r="E16" i="21" a="1"/>
  <c r="E16" i="21" s="1"/>
  <c r="E17" i="21" a="1"/>
  <c r="E17" i="21" s="1"/>
  <c r="E18" i="21" a="1"/>
  <c r="E18" i="21" s="1"/>
  <c r="E19" i="21" a="1"/>
  <c r="E19" i="21" s="1"/>
  <c r="E20" i="21" a="1"/>
  <c r="E20" i="21" s="1"/>
  <c r="E21" i="21" a="1"/>
  <c r="E21" i="21" s="1"/>
  <c r="E22" i="21" a="1"/>
  <c r="E22" i="21" s="1"/>
  <c r="E23" i="21" a="1"/>
  <c r="E23" i="21" s="1"/>
  <c r="E24" i="21" a="1"/>
  <c r="E24" i="21" s="1"/>
  <c r="E25" i="21" a="1"/>
  <c r="E25" i="21" s="1"/>
  <c r="E26" i="21" a="1"/>
  <c r="E26" i="21" s="1"/>
  <c r="E27" i="21" a="1"/>
  <c r="E27" i="21" s="1"/>
  <c r="E28" i="21" a="1"/>
  <c r="E28" i="21" s="1"/>
  <c r="E29" i="21" a="1"/>
  <c r="E29" i="21" s="1"/>
  <c r="E30" i="21" a="1"/>
  <c r="E30" i="21" s="1"/>
  <c r="E31" i="21" a="1"/>
  <c r="E31" i="21" s="1"/>
  <c r="E33" i="21" a="1"/>
  <c r="E33" i="21" s="1"/>
  <c r="E32" i="21" a="1"/>
  <c r="E32" i="21" s="1"/>
  <c r="E34" i="21" a="1"/>
  <c r="E34" i="21" s="1"/>
  <c r="E35" i="21" a="1"/>
  <c r="E35" i="21" s="1"/>
  <c r="E36" i="21" a="1"/>
  <c r="E36" i="21" s="1"/>
  <c r="E37" i="21" a="1"/>
  <c r="E37" i="21" s="1"/>
  <c r="E38" i="21" a="1"/>
  <c r="E38" i="21" s="1"/>
  <c r="E39" i="21" a="1"/>
  <c r="E39" i="21" s="1"/>
  <c r="E40" i="21" a="1"/>
  <c r="E40" i="21" s="1"/>
  <c r="E41" i="21" a="1"/>
  <c r="E41" i="21" s="1"/>
  <c r="E42" i="21" a="1"/>
  <c r="E42" i="21" s="1"/>
  <c r="E43" i="21" a="1"/>
  <c r="E43" i="21" s="1"/>
  <c r="E44" i="21" a="1"/>
  <c r="E44" i="21" s="1"/>
  <c r="E45" i="21" a="1"/>
  <c r="E45" i="21" s="1"/>
  <c r="E46" i="21" a="1"/>
  <c r="E46" i="21" s="1"/>
  <c r="E47" i="21" a="1"/>
  <c r="E47" i="21" s="1"/>
  <c r="E48" i="21" a="1"/>
  <c r="E48" i="21" s="1"/>
  <c r="E49" i="21" a="1"/>
  <c r="E49" i="21" s="1"/>
  <c r="E50" i="21" a="1"/>
  <c r="E50" i="21" s="1"/>
  <c r="E51" i="21" a="1"/>
  <c r="E51" i="21" s="1"/>
  <c r="E52" i="21" a="1"/>
  <c r="E52" i="21" s="1"/>
  <c r="E53" i="21" a="1"/>
  <c r="E53" i="21" s="1"/>
  <c r="E54" i="21" a="1"/>
  <c r="E54" i="21" s="1"/>
  <c r="E55" i="21" a="1"/>
  <c r="E55" i="21" s="1"/>
  <c r="E56" i="21" a="1"/>
  <c r="E56" i="21" s="1"/>
  <c r="E57" i="21" a="1"/>
  <c r="E57" i="21" s="1"/>
  <c r="E58" i="21" a="1"/>
  <c r="E58" i="21" s="1"/>
  <c r="E59" i="21" a="1"/>
  <c r="E59" i="21" s="1"/>
  <c r="E60" i="21" a="1"/>
  <c r="E60" i="21" s="1"/>
  <c r="E61" i="21" a="1"/>
  <c r="E61" i="21" s="1"/>
  <c r="E62" i="21" a="1"/>
  <c r="E62" i="21" s="1"/>
  <c r="E63" i="21" a="1"/>
  <c r="E63" i="21" s="1"/>
  <c r="E64" i="21" a="1"/>
  <c r="E64" i="21" s="1"/>
  <c r="E65" i="21" a="1"/>
  <c r="E65" i="21" s="1"/>
  <c r="E66" i="21" a="1"/>
  <c r="E66" i="21" s="1"/>
  <c r="E67" i="21" a="1"/>
  <c r="E67" i="21" s="1"/>
  <c r="E68" i="21" a="1"/>
  <c r="E68" i="21" s="1"/>
  <c r="E69" i="21" a="1"/>
  <c r="E69" i="21" s="1"/>
  <c r="E70" i="21" a="1"/>
  <c r="E70" i="21" s="1"/>
  <c r="E71" i="21" a="1"/>
  <c r="E71" i="21" s="1"/>
  <c r="E72" i="21" a="1"/>
  <c r="E72" i="21" s="1"/>
  <c r="E73" i="21" a="1"/>
  <c r="E73" i="21" s="1"/>
  <c r="E74" i="21" a="1"/>
  <c r="E74" i="21" s="1"/>
  <c r="E75" i="21" a="1"/>
  <c r="E75" i="21" s="1"/>
  <c r="E76" i="21" a="1"/>
  <c r="E76" i="21" s="1"/>
  <c r="E77" i="21" a="1"/>
  <c r="E77" i="21" s="1"/>
  <c r="E78" i="21" a="1"/>
  <c r="E78" i="21" s="1"/>
  <c r="E79" i="21" a="1"/>
  <c r="E79" i="21" s="1"/>
  <c r="E80" i="21" a="1"/>
  <c r="E80" i="21" s="1"/>
  <c r="E81" i="21" a="1"/>
  <c r="E81" i="21" s="1"/>
  <c r="E82" i="21" a="1"/>
  <c r="E82" i="21" s="1"/>
  <c r="E83" i="21" a="1"/>
  <c r="E83" i="21" s="1"/>
  <c r="E84" i="21" a="1"/>
  <c r="E84" i="21" s="1"/>
  <c r="E85" i="21" a="1"/>
  <c r="E85" i="21" s="1"/>
  <c r="E86" i="21" a="1"/>
  <c r="E86" i="21" s="1"/>
  <c r="E87" i="21" a="1"/>
  <c r="E87" i="21" s="1"/>
  <c r="E88" i="21" a="1"/>
  <c r="E88" i="21" s="1"/>
  <c r="E89" i="21" a="1"/>
  <c r="E89" i="21" s="1"/>
  <c r="E90" i="21" a="1"/>
  <c r="E90" i="21" s="1"/>
  <c r="E91" i="21" a="1"/>
  <c r="E91" i="21" s="1"/>
  <c r="E92" i="21" a="1"/>
  <c r="E92" i="21" s="1"/>
  <c r="E93" i="21" a="1"/>
  <c r="E93" i="21" s="1"/>
  <c r="E94" i="21" a="1"/>
  <c r="E94" i="21" s="1"/>
  <c r="E95" i="21" a="1"/>
  <c r="E95" i="21" s="1"/>
  <c r="E96" i="21" a="1"/>
  <c r="E96" i="21" s="1"/>
  <c r="E97" i="21" a="1"/>
  <c r="E97" i="21" s="1"/>
  <c r="E98" i="21" a="1"/>
  <c r="E98" i="21" s="1"/>
  <c r="E99" i="21" a="1"/>
  <c r="E99" i="21" s="1"/>
  <c r="E100" i="21" a="1"/>
  <c r="E100" i="21" s="1"/>
  <c r="E101" i="21" a="1"/>
  <c r="E101" i="21" s="1"/>
  <c r="E102" i="21" a="1"/>
  <c r="E102" i="21" s="1"/>
  <c r="E103" i="21" a="1"/>
  <c r="E103" i="21" s="1"/>
  <c r="E104" i="21" a="1"/>
  <c r="E104" i="21" s="1"/>
  <c r="E105" i="21" a="1"/>
  <c r="E105" i="21" s="1"/>
  <c r="E106" i="21" a="1"/>
  <c r="E106" i="21" s="1"/>
  <c r="E107" i="21" a="1"/>
  <c r="E107" i="21" s="1"/>
  <c r="E108" i="21" a="1"/>
  <c r="E108" i="21" s="1"/>
  <c r="E109" i="21" a="1"/>
  <c r="E109" i="21" s="1"/>
  <c r="E110" i="21" a="1"/>
  <c r="E110" i="21" s="1"/>
  <c r="E111" i="21" a="1"/>
  <c r="E111" i="21" s="1"/>
  <c r="E112" i="21" a="1"/>
  <c r="E112" i="21" s="1"/>
  <c r="E113" i="21" a="1"/>
  <c r="E113" i="21" s="1"/>
  <c r="E114" i="21" a="1"/>
  <c r="E114" i="21" s="1"/>
  <c r="E115" i="21" a="1"/>
  <c r="E115" i="21" s="1"/>
  <c r="E116" i="21" a="1"/>
  <c r="E116" i="21" s="1"/>
  <c r="E117" i="21" a="1"/>
  <c r="E117" i="21" s="1"/>
  <c r="E118" i="21" a="1"/>
  <c r="E118" i="21" s="1"/>
  <c r="E119" i="21" a="1"/>
  <c r="E119" i="21" s="1"/>
  <c r="E120" i="21" a="1"/>
  <c r="E120" i="21" s="1"/>
  <c r="E121" i="21" a="1"/>
  <c r="E121" i="21" s="1"/>
  <c r="E122" i="21" a="1"/>
  <c r="E122" i="21" s="1"/>
  <c r="E123" i="21" a="1"/>
  <c r="E123" i="21" s="1"/>
  <c r="E124" i="21" a="1"/>
  <c r="E124" i="21" s="1"/>
  <c r="E125" i="21" a="1"/>
  <c r="E125" i="21" s="1"/>
  <c r="E126" i="21" a="1"/>
  <c r="E126" i="21" s="1"/>
  <c r="E127" i="21" a="1"/>
  <c r="E127" i="21" s="1"/>
  <c r="E128" i="21" a="1"/>
  <c r="E128" i="21" s="1"/>
  <c r="E129" i="21" a="1"/>
  <c r="E129" i="21" s="1"/>
  <c r="E130" i="21" a="1"/>
  <c r="E130" i="21" s="1"/>
  <c r="E131" i="21" a="1"/>
  <c r="E131" i="21" s="1"/>
  <c r="E132" i="21" a="1"/>
  <c r="E132" i="21" s="1"/>
  <c r="E133" i="21" a="1"/>
  <c r="E133" i="21" s="1"/>
  <c r="E134" i="21" a="1"/>
  <c r="E134" i="21" s="1"/>
  <c r="E135" i="21" a="1"/>
  <c r="E135" i="21" s="1"/>
  <c r="E136" i="21" a="1"/>
  <c r="E136" i="21" s="1"/>
  <c r="E137" i="21" a="1"/>
  <c r="E137" i="21" s="1"/>
  <c r="E138" i="21" a="1"/>
  <c r="E138" i="21" s="1"/>
  <c r="E139" i="21" a="1"/>
  <c r="E139" i="21" s="1"/>
  <c r="E140" i="21" a="1"/>
  <c r="E140" i="21" s="1"/>
  <c r="E141" i="21" a="1"/>
  <c r="E141" i="21" s="1"/>
  <c r="E142" i="21" a="1"/>
  <c r="E142" i="21" s="1"/>
  <c r="E143" i="21" a="1"/>
  <c r="E143" i="21" s="1"/>
  <c r="E144" i="21" a="1"/>
  <c r="E144" i="21" s="1"/>
  <c r="E145" i="21" a="1"/>
  <c r="E145" i="21" s="1"/>
  <c r="E146" i="21" a="1"/>
  <c r="E146" i="21" s="1"/>
  <c r="E147" i="21" a="1"/>
  <c r="E147" i="21" s="1"/>
  <c r="E148" i="21" a="1"/>
  <c r="E148" i="21" s="1"/>
  <c r="E149" i="21" a="1"/>
  <c r="E149" i="21" s="1"/>
  <c r="E150" i="21" a="1"/>
  <c r="E150" i="21" s="1"/>
  <c r="E151" i="21" a="1"/>
  <c r="E151" i="21" s="1"/>
  <c r="E152" i="21" a="1"/>
  <c r="E152" i="21" s="1"/>
  <c r="E153" i="21" a="1"/>
  <c r="E153" i="21" s="1"/>
  <c r="E154" i="21" a="1"/>
  <c r="E154" i="21" s="1"/>
  <c r="E155" i="21" a="1"/>
  <c r="E155" i="21" s="1"/>
  <c r="E156" i="21" a="1"/>
  <c r="E156" i="21" s="1"/>
  <c r="E157" i="21" a="1"/>
  <c r="E157" i="21" s="1"/>
  <c r="E158" i="21" a="1"/>
  <c r="E158" i="21" s="1"/>
  <c r="E159" i="21" a="1"/>
  <c r="E159" i="21" s="1"/>
  <c r="E160" i="21" a="1"/>
  <c r="E160" i="21" s="1"/>
  <c r="E161" i="21" a="1"/>
  <c r="E161" i="21" s="1"/>
  <c r="E162" i="21" a="1"/>
  <c r="E162" i="21" s="1"/>
  <c r="E163" i="21" a="1"/>
  <c r="E163" i="21" s="1"/>
  <c r="E164" i="21" a="1"/>
  <c r="E164" i="21" s="1"/>
  <c r="E165" i="21" a="1"/>
  <c r="E165" i="21" s="1"/>
  <c r="E166" i="21" a="1"/>
  <c r="E166" i="21" s="1"/>
  <c r="E167" i="21" a="1"/>
  <c r="E167" i="21" s="1"/>
  <c r="E168" i="21" a="1"/>
  <c r="E168" i="21" s="1"/>
  <c r="E169" i="21" a="1"/>
  <c r="E169" i="21" s="1"/>
  <c r="E170" i="21" a="1"/>
  <c r="E170" i="21" s="1"/>
  <c r="E171" i="21" a="1"/>
  <c r="E171" i="21" s="1"/>
  <c r="E172" i="21" a="1"/>
  <c r="E172" i="21" s="1"/>
  <c r="E173" i="21" a="1"/>
  <c r="E173" i="21" s="1"/>
  <c r="E174" i="21" a="1"/>
  <c r="E174" i="21" s="1"/>
  <c r="E175" i="21" a="1"/>
  <c r="E175" i="21" s="1"/>
  <c r="E176" i="21" a="1"/>
  <c r="E176" i="21" s="1"/>
  <c r="E177" i="21" a="1"/>
  <c r="E177" i="21" s="1"/>
  <c r="E178" i="21" a="1"/>
  <c r="E178" i="21" s="1"/>
  <c r="E179" i="21" a="1"/>
  <c r="E179" i="21" s="1"/>
  <c r="E180" i="21" a="1"/>
  <c r="E180" i="21" s="1"/>
  <c r="E181" i="21" a="1"/>
  <c r="E181" i="21" s="1"/>
  <c r="E182" i="21" a="1"/>
  <c r="E182" i="21" s="1"/>
  <c r="E183" i="21" a="1"/>
  <c r="E183" i="21" s="1"/>
  <c r="E184" i="21" a="1"/>
  <c r="E184" i="21" s="1"/>
  <c r="E185" i="21" a="1"/>
  <c r="E185" i="21" s="1"/>
  <c r="E186" i="21" a="1"/>
  <c r="E186" i="21" s="1"/>
  <c r="E187" i="21" a="1"/>
  <c r="E187" i="21" s="1"/>
  <c r="E188" i="21" a="1"/>
  <c r="E188" i="21" s="1"/>
  <c r="E189" i="21" a="1"/>
  <c r="E189" i="21" s="1"/>
  <c r="E190" i="21" a="1"/>
  <c r="E190" i="21" s="1"/>
  <c r="E191" i="21" a="1"/>
  <c r="E191" i="21" s="1"/>
  <c r="E192" i="21" a="1"/>
  <c r="E192" i="21" s="1"/>
  <c r="E193" i="21" a="1"/>
  <c r="E193" i="21" s="1"/>
  <c r="E194" i="21" a="1"/>
  <c r="E194" i="21" s="1"/>
  <c r="E195" i="21" a="1"/>
  <c r="E195" i="21" s="1"/>
  <c r="E196" i="21" a="1"/>
  <c r="E196" i="21" s="1"/>
  <c r="E197" i="21" a="1"/>
  <c r="E197" i="21" s="1"/>
  <c r="E198" i="21" a="1"/>
  <c r="E198" i="21" s="1"/>
  <c r="E199" i="21" a="1"/>
  <c r="E199" i="21" s="1"/>
  <c r="E200" i="21" a="1"/>
  <c r="E200" i="21" s="1"/>
  <c r="E201" i="21" a="1"/>
  <c r="E201" i="21" s="1"/>
  <c r="E202" i="21" a="1"/>
  <c r="E202" i="21" s="1"/>
  <c r="E203" i="21" a="1"/>
  <c r="E203" i="21" s="1"/>
  <c r="E204" i="21" a="1"/>
  <c r="E204" i="21" s="1"/>
  <c r="E205" i="21" a="1"/>
  <c r="E205" i="21" s="1"/>
  <c r="E206" i="21" a="1"/>
  <c r="E206" i="21" s="1"/>
  <c r="E207" i="21" a="1"/>
  <c r="E207" i="21" s="1"/>
  <c r="E208" i="21" a="1"/>
  <c r="E208" i="21" s="1"/>
  <c r="E209" i="21" a="1"/>
  <c r="E209" i="21" s="1"/>
  <c r="E210" i="21" a="1"/>
  <c r="E210" i="21" s="1"/>
  <c r="E211" i="21" a="1"/>
  <c r="E211" i="21" s="1"/>
  <c r="E212" i="21" a="1"/>
  <c r="E212" i="21" s="1"/>
  <c r="E213" i="21" a="1"/>
  <c r="E213" i="21" s="1"/>
  <c r="E214" i="21" a="1"/>
  <c r="E214" i="21" s="1"/>
  <c r="E215" i="21" a="1"/>
  <c r="E215" i="21" s="1"/>
  <c r="E216" i="21" a="1"/>
  <c r="E216" i="21" s="1"/>
  <c r="E217" i="21" a="1"/>
  <c r="E217" i="21" s="1"/>
  <c r="E218" i="21" a="1"/>
  <c r="E218" i="21" s="1"/>
  <c r="E219" i="21" a="1"/>
  <c r="E219" i="21" s="1"/>
  <c r="E220" i="21" a="1"/>
  <c r="E220" i="21" s="1"/>
  <c r="E221" i="21" a="1"/>
  <c r="E221" i="21" s="1"/>
  <c r="E222" i="21" a="1"/>
  <c r="E222" i="21" s="1"/>
  <c r="E223" i="21" a="1"/>
  <c r="E223" i="21" s="1"/>
  <c r="E224" i="21" a="1"/>
  <c r="E224" i="21" s="1"/>
  <c r="E225" i="21" a="1"/>
  <c r="E225" i="21" s="1"/>
  <c r="E226" i="21" a="1"/>
  <c r="E226" i="21" s="1"/>
  <c r="E227" i="21" a="1"/>
  <c r="E227" i="21" s="1"/>
  <c r="E228" i="21" a="1"/>
  <c r="E228" i="21" s="1"/>
  <c r="E229" i="21" a="1"/>
  <c r="E229" i="21" s="1"/>
  <c r="E230" i="21" a="1"/>
  <c r="E230" i="21" s="1"/>
  <c r="E231" i="21" a="1"/>
  <c r="E231" i="21" s="1"/>
  <c r="E232" i="21" a="1"/>
  <c r="E232" i="21" s="1"/>
  <c r="E233" i="21" a="1"/>
  <c r="E233" i="21" s="1"/>
  <c r="E234" i="21" a="1"/>
  <c r="E234" i="21" s="1"/>
  <c r="E235" i="21" a="1"/>
  <c r="E235" i="21" s="1"/>
  <c r="E236" i="21" a="1"/>
  <c r="E236" i="21" s="1"/>
  <c r="E237" i="21" a="1"/>
  <c r="E237" i="21" s="1"/>
  <c r="E238" i="21" a="1"/>
  <c r="E238" i="21" s="1"/>
  <c r="E239" i="21" a="1"/>
  <c r="E239" i="21" s="1"/>
  <c r="E240" i="21" a="1"/>
  <c r="E240" i="21" s="1"/>
  <c r="E241" i="21" a="1"/>
  <c r="E241" i="21" s="1"/>
  <c r="E242" i="21" a="1"/>
  <c r="E242" i="21" s="1"/>
  <c r="E243" i="21" a="1"/>
  <c r="E243" i="21" s="1"/>
  <c r="E244" i="21" a="1"/>
  <c r="E244" i="21" s="1"/>
  <c r="E245" i="21" a="1"/>
  <c r="E245" i="21" s="1"/>
  <c r="E246" i="21" a="1"/>
  <c r="E246" i="21" s="1"/>
  <c r="E247" i="21" a="1"/>
  <c r="E247" i="21" s="1"/>
  <c r="E248" i="21" a="1"/>
  <c r="E248" i="21" s="1"/>
  <c r="E185" i="24"/>
  <c r="E185" i="24" a="1"/>
  <c r="E142" i="24"/>
  <c r="E142" i="24" a="1"/>
  <c r="E20" i="24"/>
  <c r="E20" i="24" a="1"/>
  <c r="E56" i="24"/>
  <c r="E56" i="24" a="1"/>
  <c r="E101" i="24"/>
  <c r="E101" i="24" a="1"/>
  <c r="E190" i="24"/>
  <c r="E190" i="24" a="1"/>
  <c r="E18" i="24"/>
  <c r="E18" i="24" a="1"/>
  <c r="E23" i="24"/>
  <c r="E23" i="24" a="1"/>
  <c r="E215" i="24"/>
  <c r="E215" i="24" a="1"/>
  <c r="E53" i="24"/>
  <c r="E53" i="24" a="1"/>
  <c r="E155" i="24"/>
  <c r="E155" i="24" a="1"/>
  <c r="E45" i="24"/>
  <c r="E45" i="24" a="1"/>
  <c r="E38" i="24"/>
  <c r="E38" i="24" a="1"/>
  <c r="E184" i="24"/>
  <c r="E184" i="24" a="1"/>
  <c r="E93" i="24"/>
  <c r="E93" i="24" a="1"/>
  <c r="E218" i="24"/>
  <c r="E218" i="24" a="1"/>
  <c r="E114" i="24"/>
  <c r="E114" i="24" a="1"/>
  <c r="E132" i="24"/>
  <c r="E132" i="24" a="1"/>
  <c r="E12" i="24"/>
  <c r="E12" i="24" a="1"/>
  <c r="E50" i="24"/>
  <c r="E50" i="24" a="1"/>
  <c r="E133" i="24"/>
  <c r="E133" i="24" a="1"/>
  <c r="E81" i="24"/>
  <c r="E81" i="24" a="1"/>
  <c r="E30" i="24"/>
  <c r="E30" i="24" a="1"/>
  <c r="E103" i="24"/>
  <c r="E103" i="24" a="1"/>
  <c r="E62" i="24"/>
  <c r="E62" i="24" a="1"/>
  <c r="E3" i="24"/>
  <c r="E3" i="24" a="1"/>
  <c r="E9" i="24"/>
  <c r="E9" i="24" a="1"/>
  <c r="E104" i="24"/>
  <c r="E104" i="24" a="1"/>
  <c r="E204" i="24"/>
  <c r="E204" i="24" a="1"/>
  <c r="E5" i="24"/>
  <c r="E5" i="24" a="1"/>
  <c r="E227" i="24"/>
  <c r="E227" i="24" a="1"/>
  <c r="E166" i="24"/>
  <c r="E166" i="24" a="1"/>
  <c r="E198" i="24"/>
  <c r="E198" i="24" a="1"/>
  <c r="E58" i="24"/>
  <c r="E58" i="24" a="1"/>
  <c r="E31" i="24"/>
  <c r="E31" i="24" a="1"/>
  <c r="E59" i="24"/>
  <c r="E59" i="24" a="1"/>
  <c r="E165" i="24"/>
  <c r="E165" i="24" a="1"/>
  <c r="E11" i="24"/>
  <c r="E11" i="24" a="1"/>
  <c r="E67" i="24"/>
  <c r="E67" i="24" a="1"/>
  <c r="E28" i="24"/>
  <c r="E28" i="24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934670-EC27-44AA-A695-255EEF277B0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DF55623-D033-44BE-9426-657F7FED1DC7}" name="WorksheetConnection_The Wealth of nations-Final.xlsm!LifeExpectancy" type="102" refreshedVersion="8" minRefreshableVersion="5">
    <extLst>
      <ext xmlns:x15="http://schemas.microsoft.com/office/spreadsheetml/2010/11/main" uri="{DE250136-89BD-433C-8126-D09CA5730AF9}">
        <x15:connection id="LifeExpectancy">
          <x15:rangePr sourceName="_xlcn.WorksheetConnection_TheWealthofnationsFinal.xlsmLifeExpectancy"/>
        </x15:connection>
      </ext>
    </extLst>
  </connection>
  <connection id="3" xr16:uid="{0CB857D5-654D-41B5-BB5B-6DB1A7DE8290}" name="WorksheetConnection_The Wealth of nations-Final.xlsm!Smartphones" type="102" refreshedVersion="8" minRefreshableVersion="5">
    <extLst>
      <ext xmlns:x15="http://schemas.microsoft.com/office/spreadsheetml/2010/11/main" uri="{DE250136-89BD-433C-8126-D09CA5730AF9}">
        <x15:connection id="Smartphones">
          <x15:rangePr sourceName="_xlcn.WorksheetConnection_TheWealthofnationsFinal.xlsmSmartphones"/>
        </x15:connection>
      </ext>
    </extLst>
  </connection>
  <connection id="4" xr16:uid="{724737EA-979D-4F9F-AAA2-067CC38F0181}" name="WorksheetConnection_The Wealth of nations-Final.xlsm!TableGDP" type="102" refreshedVersion="8" minRefreshableVersion="5">
    <extLst>
      <ext xmlns:x15="http://schemas.microsoft.com/office/spreadsheetml/2010/11/main" uri="{DE250136-89BD-433C-8126-D09CA5730AF9}">
        <x15:connection id="TableGDP" autoDelete="1">
          <x15:rangePr sourceName="_xlcn.WorksheetConnection_TheWealthofnationsFinal.xlsmTableGDP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<sst xmlns="http://schemas.openxmlformats.org/spreadsheetml/2006/main" count="989" uniqueCount="437">
  <si>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</si>
  <si>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</si>
  <si>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</si>
  <si>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</si>
  <si>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Georgia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</si>
  <si>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</si>
  <si>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</si>
  <si>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</si>
  <si>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</si>
  <si>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</si>
  <si>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</si>
  <si>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</si>
  <si>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</si>
  <si>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</si>
  <si>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</si>
  <si>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</si>
  <si>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</si>
  <si>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</si>
  <si>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</si>
  <si>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</si>
  <si>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</si>
  <si>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</si>
  <si>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</si>
  <si>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</si>
  <si>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</si>
  <si>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</si>
  <si>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</si>
  <si>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</si>
  <si>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</si>
  <si>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</si>
  <si>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</si>
  <si>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</si>
  <si>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</si>
  <si>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</si>
  <si>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</si>
  <si>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</si>
  <si>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</si>
  <si>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</si>
  <si>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</si>
  <si>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</si>
  <si>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</si>
  <si>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</si>
  <si>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</si>
  <si>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</si>
  <si>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</si>
  <si>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</si>
  <si>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</si>
  <si>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</si>
  <si>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</si>
  <si>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</si>
  <si>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</si>
  <si>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</si>
  <si>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</si>
  <si>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</si>
  <si>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</si>
  <si>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</si>
  <si>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</si>
  <si>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</si>
  <si>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</si>
  <si>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</si>
  <si>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</si>
  <si>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</si>
  <si>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</si>
  <si>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</si>
  <si>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</si>
  <si>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</si>
  <si>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</si>
  <si>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</si>
  <si>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</si>
  <si>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</si>
  <si>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</si>
  <si>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</si>
  <si>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</si>
  <si>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</si>
  <si>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</si>
  <si>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</si>
  <si>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</si>
  <si>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</si>
  <si>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</si>
  <si>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</si>
  <si>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</si>
  <si>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</si>
  <si>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</si>
  <si>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</si>
  <si>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</si>
  <si>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</si>
  <si>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</si>
  <si>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</si>
  <si>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</si>
  <si>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</si>
  <si>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</si>
  <si>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</si>
  <si>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</si>
  <si>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</si>
  <si>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</si>
  <si>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</si>
  <si>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</si>
  <si>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</si>
  <si>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</si>
  <si>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</si>
  <si>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</si>
  <si>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</si>
  <si>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</si>
  <si>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</si>
  <si>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</si>
  <si>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</si>
  <si>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</si>
  <si>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</si>
  <si>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</si>
  <si>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</si>
  <si>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</si>
  <si>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</si>
  <si>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</si>
  <si>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</si>
  <si>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</si>
  <si>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</si>
  <si>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</si>
  <si>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</si>
  <si>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</si>
  <si>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</si>
  <si>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</si>
  <si>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</si>
  <si>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</si>
  <si>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</si>
  <si>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</si>
  <si>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</si>
  <si>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</si>
  <si>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</si>
  <si>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</si>
  <si>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</si>
  <si>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</si>
  <si>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</si>
  <si>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</si>
  <si>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</si>
  <si>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</si>
  <si>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</si>
  <si>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</si>
  <si>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</si>
  <si>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</si>
  <si>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</si>
  <si>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</si>
  <si>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</si>
  <si>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</si>
  <si>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</si>
  <si>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</si>
  <si>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</si>
  <si>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</si>
  <si>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</si>
  <si>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</si>
  <si>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</si>
  <si>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</si>
  <si>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</si>
  <si>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</si>
  <si>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</si>
  <si>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</si>
  <si>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</si>
  <si>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</si>
  <si>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</si>
  <si>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</si>
  <si>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</si>
  <si>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</si>
  <si>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</si>
  <si>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</si>
  <si>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</si>
  <si>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</si>
  <si>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</si>
  <si>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</si>
  <si>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</si>
  <si>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</si>
  <si>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</si>
  <si>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</si>
  <si>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</si>
  <si>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</si>
  <si>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</si>
  <si>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</si>
  <si>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</si>
  <si>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</si>
  <si>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</si>
  <si>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</si>
  <si>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</si>
  <si>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</si>
  <si>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</si>
  <si>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</si>
  <si>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</si>
  <si>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</si>
  <si>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</si>
  <si>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</si>
  <si>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</si>
  <si>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</si>
  <si>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</si>
  <si>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</si>
  <si>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</si>
  <si>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</si>
  <si>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</si>
  <si>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</si>
  <si>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</si>
  <si>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</si>
  <si>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</si>
  <si>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</si>
  <si>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</si>
  <si>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</si>
  <si>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</si>
  <si>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</si>
  <si>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</si>
  <si>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</si>
  <si>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</si>
  <si>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</si>
  <si>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</si>
  <si>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</si>
  <si>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</si>
  <si>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</si>
  <si>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</si>
  <si>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</si>
  <si>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</si>
  <si>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</si>
  <si>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</si>
  <si>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</si>
  <si>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</si>
  <si>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</si>
  <si>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</si>
  <si>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</si>
  <si>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</si>
  <si>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</si>
  <si>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</si>
  <si>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</si>
  <si>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</si>
  <si>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</si>
  <si>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</si>
  <si>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</si>
  <si>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</si>
  <si>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</si>
  <si>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</si>
  <si>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</si>
  <si>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</si>
  <si>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</si>
  <si>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</si>
  <si>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</si>
  <si>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</si>
  <si>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</si>
  <si>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</si>
  <si>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</si>
  <si>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</si>
  <si>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</si>
  <si>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</si>
  <si>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</si>
  <si>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</si>
  <si>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</si>
  <si>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</si>
  <si>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</si>
  <si>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</si>
  <si>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</si>
  <si>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</si>
  <si>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</si>
  <si>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</si>
  <si>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</si>
  <si>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</si>
  <si>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</si>
  <si>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</si>
  <si>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</si>
  <si>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</si>
  <si>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</si>
  <si>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</si>
  <si>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</si>
  <si>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</si>
  <si>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</si>
  <si>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</si>
  <si>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</si>
  <si>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</si>
  <si>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</si>
  <si>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</si>
  <si>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</si>
  <si>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</si>
  <si>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</si>
  <si>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</si>
  <si>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</si>
  <si>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</si>
  <si>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</si>
  <si>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</si>
  <si>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</si>
  <si>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</si>
  <si>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</si>
  <si>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</si>
  <si>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</si>
  <si>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</si>
  <si>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</si>
  <si>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</si>
  <si>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</si>
  <si>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</si>
  <si>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</si>
  <si>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</si>
  <si>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</si>
  <si>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</si>
  <si>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</si>
  <si>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</si>
  <si>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</si>
  <si>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</si>
  <si>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</si>
  <si>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</si>
  <si>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</si>
  <si>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</si>
  <si>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</si>
  <si>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</si>
  <si>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</si>
  <si>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</si>
  <si>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</si>
  <si>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</si>
  <si>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</si>
  <si>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</si>
  <si>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</si>
  <si>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</si>
  <si>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</si>
  <si>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</si>
  <si>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</si>
  <si>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</si>
  <si>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</si>
  <si>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</si>
  <si>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</si>
  <si>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</si>
  <si>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</si>
  <si>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</si>
  <si>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</si>
  <si>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</si>
  <si>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</si>
  <si>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</si>
  <si>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</si>
  <si>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</si>
  <si>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</si>
  <si>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</si>
  <si>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</si>
  <si>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</si>
  <si>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</si>
  <si>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</si>
  <si>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</si>
  <si>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</si>
  <si>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</si>
  <si>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</si>
  <si>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</si>
  <si>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</si>
  <si>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</si>
  <si>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</si>
  <si>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</si>
  <si>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</si>
  <si>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</si>
  <si>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</si>
  <si>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</si>
  <si>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</si>
  <si>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</si>
  <si>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</si>
  <si>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</si>
  <si>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</si>
  <si>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</si>
  <si>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</si>
  <si>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</si>
  <si>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</si>
  <si>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</si>
  <si>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</si>
  <si>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</si>
  <si>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</si>
  <si>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</si>
  <si>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</si>
  <si>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</si>
  <si>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</si>
  <si>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</si>
  <si>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</si>
  <si>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</si>
  <si>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</si>
  <si>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</si>
  <si>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</si>
  <si>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</si>
  <si>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</si>
  <si>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</si>
  <si>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</si>
  <si>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</si>
  <si>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</si>
  <si>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</si>
  <si>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</si>
  <si>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</si>
  <si>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</si>
  <si>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</si>
  <si>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</si>
  <si>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</si>
  <si>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</si>
  <si>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</si>
  <si>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</si>
  <si>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</si>
  <si>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</si>
  <si>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</si>
  <si>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</si>
  <si>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</si>
  <si>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</si>
  <si>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</si>
  <si>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</si>
  <si>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</si>
  <si>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</si>
  <si>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</si>
  <si>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</si>
  <si>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</si>
  <si>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</si>
  <si>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</si>
  <si>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</si>
  <si>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</si>
  <si>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</si>
  <si>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</si>
  <si>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</si>
  <si>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</si>
  <si>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</si>
  <si>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</si>
  <si>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</si>
  <si>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</si>
  <si>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</si>
  <si>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</si>
  <si>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</si>
  <si>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</si>
  <si>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</si>
  <si>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</si>
  <si>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</si>
  <si>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</si>
  <si>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</si>
  <si>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</si>
  <si>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</si>
  <si>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</si>
  <si>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</si>
  <si>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</si>
  <si>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</si>
  <si>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</si>
  <si>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</si>
  <si>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</si>
  <si>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</si>
  <si>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</si>
  <si>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</si>
  <si>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Column2</t>
  </si>
  <si>
    <t>New Rank</t>
  </si>
  <si>
    <t>Rank-old</t>
  </si>
  <si>
    <t xml:space="preserve"> Rank</t>
  </si>
  <si>
    <t>Taiwan</t>
  </si>
  <si>
    <t>North Korea</t>
  </si>
  <si>
    <t>Monaco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</si>
</sst>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\-* #,##0_-;_-* &quot;-&quot;??_-;_-@_-"/>
    <numFmt numFmtId="166" formatCode="_-* #,##0.0_-;\-* #,##0.0_-;_-* &quot;-&quot;??_-;_-@_-"/>
    <numFmt numFmtId="167" formatCode="&quot;£&quot;#,##0"/>
  </numFmts>
  <fonts count="4" x14ac:knownFonts="1">
    <font>
      <sz val="11"/>
      <color theme="1"/>
      <name val="Georgia"/>
      <family val="2"/>
      <scheme val="minor"/>
    </font>
    <font>
      <sz val="11"/>
      <color theme="1"/>
      <name val="Georgia"/>
      <family val="2"/>
      <scheme val="minor"/>
    </font>
    <font>
      <b/>
      <sz val="11"/>
      <color theme="1"/>
      <name val="Georgia"/>
      <family val="2"/>
      <scheme val="minor"/>
    </font>
    <font>
      <sz val="8"/>
      <name val="Georgi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gradientFill degree="90">
        <stop position="0">
          <color theme="0" tint="-0.25098422193060094"/>
        </stop>
        <stop position="1">
          <color theme="8"/>
        </stop>
      </gradientFill>
    </fill>
    <fill>
      <patternFill patternType="solid">
        <fgColor theme="0" tint="-0.149967955565050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165" fontId="0" fillId="0" borderId="0" xfId="0" applyNumberFormat="1"/>
    <xf numFmtId="0" fontId="2" fillId="0" borderId="1" xfId="0" applyFont="1" applyBorder="1"/>
    <xf numFmtId="0" fontId="0" fillId="0" borderId="1" xfId="0" applyBorder="1"/>
    <xf numFmtId="166" fontId="0" fillId="0" borderId="1" xfId="2" applyNumberFormat="1" applyFont="1" applyBorder="1"/>
    <xf numFmtId="0" fontId="0" fillId="2" borderId="0" xfId="0" applyFill="1"/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167" fontId="0" fillId="3" borderId="4" xfId="0" applyNumberFormat="1" applyFill="1" applyBorder="1"/>
    <xf numFmtId="0" fontId="0" fillId="3" borderId="5" xfId="0" applyFill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" xfId="0" applyFill="1" applyBorder="1"/>
    <xf numFmtId="167" fontId="0" fillId="3" borderId="10" xfId="0" applyNumberForma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167" fontId="0" fillId="3" borderId="14" xfId="0" applyNumberFormat="1" applyFill="1" applyBorder="1"/>
    <xf numFmtId="0" fontId="0" fillId="3" borderId="0" xfId="0" applyFill="1"/>
    <xf numFmtId="0" fontId="0" fillId="3" borderId="15" xfId="0" applyFill="1" applyBorder="1"/>
    <xf numFmtId="0" fontId="0" fillId="4" borderId="0" xfId="0" applyFill="1"/>
  </cellXfs>
  <cellStyles count="3">
    <cellStyle name="Comma" xfId="2" builtinId="3"/>
    <cellStyle name="Comma 2" xfId="1" xr:uid="{43A203F9-348E-4900-9C92-B4FA6458E3F8}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166" formatCode="_-* #,##0.0_-;\-* #,##0.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tyles" Target="styles.xml"/><Relationship Id="rId5" Type="http://schemas.openxmlformats.org/officeDocument/2006/relationships/chartsheet" Target="chartsheets/sheet2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Chart illustrating GDP per Capita by Country And Country by Ranking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393573019785571E-2"/>
          <c:y val="9.3350958450150387E-2"/>
          <c:w val="0.9171322308729799"/>
          <c:h val="0.47980084318398764"/>
        </c:manualLayout>
      </c:layout>
      <c:areaChart>
        <c:grouping val="standard"/>
        <c:varyColors val="0"/>
        <c:ser>
          <c:idx val="1"/>
          <c:order val="1"/>
          <c:tx>
            <c:strRef>
              <c:f>'Top 20 Ranked for 2019'!$E$1</c:f>
              <c:strCache>
                <c:ptCount val="1"/>
                <c:pt idx="0">
                  <c:v> Rank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</a:schemeClr>
                </a:gs>
                <a:gs pos="90000">
                  <a:schemeClr val="accent5">
                    <a:tint val="77000"/>
                    <a:shade val="100000"/>
                    <a:satMod val="105000"/>
                  </a:schemeClr>
                </a:gs>
                <a:gs pos="100000">
                  <a:schemeClr val="accent5">
                    <a:tint val="77000"/>
                    <a:shade val="80000"/>
                    <a:satMod val="120000"/>
                  </a:schemeClr>
                </a:gs>
              </a:gsLst>
              <a:path path="circle">
                <a:fillToRect l="100000" t="100000" r="100000" b="100000"/>
              </a:path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45000"/>
                </a:srgbClr>
              </a:outerShdw>
            </a:effectLst>
          </c:spPr>
          <c:cat>
            <c:strRef>
              <c:f>'Top 20 Ranked for 2019'!$A$2:$A$253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Kuwait </c:v>
                </c:pt>
                <c:pt idx="20">
                  <c:v>Australia </c:v>
                </c:pt>
              </c:strCache>
            </c:strRef>
          </c:cat>
          <c:val>
            <c:numRef>
              <c:f>'Top 20 Ranked for 2019'!$E$2:$E$253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2-4B1C-9D12-DCBDFC38B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128808"/>
        <c:axId val="971130920"/>
      </c:areaChart>
      <c:barChart>
        <c:barDir val="col"/>
        <c:grouping val="clustered"/>
        <c:varyColors val="0"/>
        <c:ser>
          <c:idx val="0"/>
          <c:order val="0"/>
          <c:tx>
            <c:strRef>
              <c:f>'Top 20 Ranked for 2019'!$C$1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</a:schemeClr>
                </a:gs>
                <a:gs pos="90000">
                  <a:schemeClr val="accent5">
                    <a:shade val="76000"/>
                    <a:shade val="100000"/>
                    <a:satMod val="105000"/>
                  </a:schemeClr>
                </a:gs>
                <a:gs pos="100000">
                  <a:schemeClr val="accent5">
                    <a:shade val="76000"/>
                    <a:shade val="80000"/>
                    <a:satMod val="120000"/>
                  </a:schemeClr>
                </a:gs>
              </a:gsLst>
              <a:path path="circle">
                <a:fillToRect l="100000" t="100000" r="100000" b="100000"/>
              </a:path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45000"/>
                </a:srgbClr>
              </a:outerShdw>
            </a:effectLst>
          </c:spPr>
          <c:invertIfNegative val="0"/>
          <c:cat>
            <c:strRef>
              <c:f>'Top 20 Ranked for 2019'!$A$2:$A$253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Kuwait </c:v>
                </c:pt>
                <c:pt idx="20">
                  <c:v>Australia </c:v>
                </c:pt>
              </c:strCache>
            </c:strRef>
          </c:cat>
          <c:val>
            <c:numRef>
              <c:f>'Top 20 Ranked for 2019'!$C$2:$C$253</c:f>
              <c:numCache>
                <c:formatCode>"£"#,##0</c:formatCode>
                <c:ptCount val="26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2-4B1C-9D12-DCBDFC38B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891994472"/>
        <c:axId val="892000808"/>
      </c:barChart>
      <c:catAx>
        <c:axId val="891994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000808"/>
        <c:crosses val="autoZero"/>
        <c:auto val="0"/>
        <c:lblAlgn val="ctr"/>
        <c:lblOffset val="100"/>
        <c:tickLblSkip val="1"/>
        <c:noMultiLvlLbl val="0"/>
      </c:catAx>
      <c:valAx>
        <c:axId val="892000808"/>
        <c:scaling>
          <c:orientation val="minMax"/>
          <c:max val="19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94472"/>
        <c:crosses val="autoZero"/>
        <c:crossBetween val="midCat"/>
        <c:minorUnit val="1000"/>
      </c:valAx>
      <c:valAx>
        <c:axId val="971130920"/>
        <c:scaling>
          <c:orientation val="minMax"/>
          <c:max val="19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Ranking</a:t>
                </a:r>
              </a:p>
            </c:rich>
          </c:tx>
          <c:layout>
            <c:manualLayout>
              <c:xMode val="edge"/>
              <c:yMode val="edge"/>
              <c:x val="0.98849773722132994"/>
              <c:y val="0.300356154432644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128808"/>
        <c:crosses val="max"/>
        <c:crossBetween val="between"/>
        <c:majorUnit val="10"/>
        <c:minorUnit val="5"/>
      </c:valAx>
      <c:catAx>
        <c:axId val="9711288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1130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latin typeface="+mn-lt"/>
              </a:rPr>
              <a:t>GDP per Capita (PPP) Vs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109278522049948"/>
          <c:y val="0.18970319273580624"/>
          <c:w val="0.57588523182852036"/>
          <c:h val="0.719845076556369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 20 Ranked for 2019'!$C$1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5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'Top 20 Ranked for 2019'!$A$2:$A$248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Kuwait </c:v>
                </c:pt>
                <c:pt idx="20">
                  <c:v>Australia </c:v>
                </c:pt>
              </c:strCache>
            </c:strRef>
          </c:cat>
          <c:val>
            <c:numRef>
              <c:f>'Top 20 Ranked for 2019'!$C$2:$C$248</c:f>
              <c:numCache>
                <c:formatCode>"£"#,##0</c:formatCode>
                <c:ptCount val="21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E-4480-BCE6-7E2BEB00841E}"/>
            </c:ext>
          </c:extLst>
        </c:ser>
        <c:ser>
          <c:idx val="2"/>
          <c:order val="2"/>
          <c:tx>
            <c:strRef>
              <c:f>'Top 20 Ranked for 2019'!$F$1</c:f>
              <c:strCache>
                <c:ptCount val="1"/>
                <c:pt idx="0">
                  <c:v>Rank-old</c:v>
                </c:pt>
              </c:strCache>
            </c:strRef>
          </c:tx>
          <c:spPr>
            <a:solidFill>
              <a:schemeClr val="accent5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20 Ranked for 2019'!$A$2:$A$248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Kuwait </c:v>
                </c:pt>
                <c:pt idx="20">
                  <c:v>Australia </c:v>
                </c:pt>
              </c:strCache>
            </c:strRef>
          </c:cat>
          <c:val>
            <c:numRef>
              <c:f>'Top 20 Ranked for 2019'!$F$2:$F$248</c:f>
            </c:numRef>
          </c:val>
          <c:extLst>
            <c:ext xmlns:c16="http://schemas.microsoft.com/office/drawing/2014/chart" uri="{C3380CC4-5D6E-409C-BE32-E72D297353CC}">
              <c16:uniqueId val="{00000002-03CE-4480-BCE6-7E2BEB00841E}"/>
            </c:ext>
          </c:extLst>
        </c:ser>
        <c:ser>
          <c:idx val="1"/>
          <c:order val="1"/>
          <c:tx>
            <c:strRef>
              <c:f>'Top 20 Ranked for 2019'!$E$1</c:f>
              <c:strCache>
                <c:ptCount val="1"/>
                <c:pt idx="0">
                  <c:v> Rank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4237395684589595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A-03CE-4480-BCE6-7E2BEB00841E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10126390380424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B-03CE-4480-BCE6-7E2BEB00841E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054603948666787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C-03CE-4480-BCE6-7E2BEB00841E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57839371742767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D-03CE-4480-BCE6-7E2BEB00841E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6519194580182953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E-03CE-4480-BCE6-7E2BEB00841E}"/>
                </c:ext>
              </c:extLst>
            </c:dLbl>
            <c:dLbl>
              <c:idx val="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543534918258838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F-03CE-4480-BCE6-7E2BEB00841E}"/>
                </c:ext>
              </c:extLst>
            </c:dLbl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5587811039890631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0-03CE-4480-BCE6-7E2BEB00841E}"/>
                </c:ext>
              </c:extLst>
            </c:dLbl>
            <c:dLbl>
              <c:idx val="7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137223841603068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1-03CE-4480-BCE6-7E2BEB00841E}"/>
                </c:ext>
              </c:extLst>
            </c:dLbl>
            <c:dLbl>
              <c:idx val="8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543534918258838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2-03CE-4480-BCE6-7E2BEB00841E}"/>
                </c:ext>
              </c:extLst>
            </c:dLbl>
            <c:dLbl>
              <c:idx val="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928927084288398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3-03CE-4480-BCE6-7E2BEB00841E}"/>
                </c:ext>
              </c:extLst>
            </c:dLbl>
            <c:dLbl>
              <c:idx val="1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4505127602268364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4-03CE-4480-BCE6-7E2BEB00841E}"/>
                </c:ext>
              </c:extLst>
            </c:dLbl>
            <c:dLbl>
              <c:idx val="1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368995821483009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5-03CE-4480-BCE6-7E2BEB00841E}"/>
                </c:ext>
              </c:extLst>
            </c:dLbl>
            <c:dLbl>
              <c:idx val="1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32233586634555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6-03CE-4480-BCE6-7E2BEB00841E}"/>
                </c:ext>
              </c:extLst>
            </c:dLbl>
            <c:dLbl>
              <c:idx val="1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84630719135211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7-03CE-4480-BCE6-7E2BEB00841E}"/>
                </c:ext>
              </c:extLst>
            </c:dLbl>
            <c:dLbl>
              <c:idx val="1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786926497861722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8-03CE-4480-BCE6-7E2BEB00841E}"/>
                </c:ext>
              </c:extLst>
            </c:dLbl>
            <c:dLbl>
              <c:idx val="15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811266835937607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9-03CE-4480-BCE6-7E2BEB00841E}"/>
                </c:ext>
              </c:extLst>
            </c:dLbl>
            <c:dLbl>
              <c:idx val="1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585554295756939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A-03CE-4480-BCE6-7E2BEB00841E}"/>
                </c:ext>
              </c:extLst>
            </c:dLbl>
            <c:dLbl>
              <c:idx val="17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40513731552750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B-03CE-4480-BCE6-7E2BEB00841E}"/>
                </c:ext>
              </c:extLst>
            </c:dLbl>
            <c:dLbl>
              <c:idx val="18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811266835937607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F9-03CE-4480-BCE6-7E2BEB00841E}"/>
                </c:ext>
              </c:extLst>
            </c:dLbl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79261374725736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C-03CE-4480-BCE6-7E2BEB00841E}"/>
                </c:ext>
              </c:extLst>
            </c:dLbl>
            <c:dLbl>
              <c:idx val="2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1792613747257366E-2"/>
                      <c:h val="3.39553470235184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10D-03CE-4480-BCE6-7E2BEB008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72000" tIns="19050" rIns="38100" bIns="19050" numCol="1" spcCol="360000" anchor="ctr" anchorCtr="1">
                <a:no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'Top 20 Ranked for 2019'!$A$2:$A$248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Kuwait </c:v>
                </c:pt>
                <c:pt idx="20">
                  <c:v>Australia </c:v>
                </c:pt>
              </c:strCache>
            </c:strRef>
          </c:cat>
          <c:val>
            <c:numRef>
              <c:f>'Top 20 Ranked for 2019'!$E$2:$E$248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E-4480-BCE6-7E2BEB00841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27171752"/>
        <c:axId val="1327170696"/>
      </c:barChart>
      <c:catAx>
        <c:axId val="1327171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170696"/>
        <c:crosses val="autoZero"/>
        <c:auto val="1"/>
        <c:lblAlgn val="ctr"/>
        <c:lblOffset val="100"/>
        <c:noMultiLvlLbl val="0"/>
      </c:catAx>
      <c:valAx>
        <c:axId val="132717069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17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3.429386039784113E-2"/>
          <c:y val="0.93503066113645295"/>
          <c:w val="0.2874550061043526"/>
          <c:h val="4.3427457502490246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GDP!$A$2:$B$11</c:f>
              <c:multiLvlStrCache>
                <c:ptCount val="10"/>
                <c:lvl>
                  <c:pt idx="0">
                    <c:v>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GDP!$C$2:$C$11</c:f>
              <c:numCache>
                <c:formatCode>General</c:formatCode>
                <c:ptCount val="1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B-45BB-9A95-12937C82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7028272"/>
        <c:axId val="1117029104"/>
      </c:barChart>
      <c:catAx>
        <c:axId val="11170282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29104"/>
        <c:crosses val="autoZero"/>
        <c:auto val="1"/>
        <c:lblAlgn val="ctr"/>
        <c:lblOffset val="100"/>
        <c:noMultiLvlLbl val="0"/>
      </c:catAx>
      <c:valAx>
        <c:axId val="11170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D74044-E836-4A66-9849-0754B406EC46}">
  <sheetPr codeName="Chart3"/>
  <sheetViews>
    <sheetView zoomScale="23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9DBD160-EABF-45C7-8AD4-D7D00CB0B95D}">
  <sheetPr codeName="Chart5"/>
  <sheetViews>
    <sheetView zoomScale="23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199958" cy="405113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1AAA9D-57BE-D8BB-9CBC-97AA969519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156679</xdr:colOff>
      <xdr:row>248</xdr:row>
      <xdr:rowOff>175177</xdr:rowOff>
    </xdr:from>
    <xdr:to>
      <xdr:col>4</xdr:col>
      <xdr:colOff>862219</xdr:colOff>
      <xdr:row>274</xdr:row>
      <xdr:rowOff>153919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F4F9653-8C63-75D4-8688-564A050B62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728869</xdr:colOff>
      <xdr:row>6</xdr:row>
      <xdr:rowOff>149087</xdr:rowOff>
    </xdr:from>
    <xdr:to>
      <xdr:col>11</xdr:col>
      <xdr:colOff>612913</xdr:colOff>
      <xdr:row>14</xdr:row>
      <xdr:rowOff>55217</xdr:rowOff>
    </xdr:to>
    <xdr:sp macro="" textlink="">
      <xdr:nvSpPr>
        <xdr:cNvPr id="2" name="Flowchart: Terminator 1">
          <a:extLst>
            <a:ext uri="{FF2B5EF4-FFF2-40B4-BE49-F238E27FC236}">
              <a16:creationId xmlns:a16="http://schemas.microsoft.com/office/drawing/2014/main" id="{A0150B0B-4EFA-146E-C088-AD3489181343}"/>
            </a:ext>
          </a:extLst>
        </xdr:cNvPr>
        <xdr:cNvSpPr/>
      </xdr:nvSpPr>
      <xdr:spPr>
        <a:xfrm>
          <a:off x="7802217" y="877957"/>
          <a:ext cx="2170044" cy="817217"/>
        </a:xfrm>
        <a:prstGeom prst="flowChartTerminator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231912</xdr:colOff>
      <xdr:row>6</xdr:row>
      <xdr:rowOff>179870</xdr:rowOff>
    </xdr:from>
    <xdr:to>
      <xdr:col>11</xdr:col>
      <xdr:colOff>357393</xdr:colOff>
      <xdr:row>14</xdr:row>
      <xdr:rowOff>27608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268A4C5-FF33-BF7F-4813-A1709F15C0C4}"/>
            </a:ext>
          </a:extLst>
        </xdr:cNvPr>
        <xdr:cNvSpPr txBox="1"/>
      </xdr:nvSpPr>
      <xdr:spPr>
        <a:xfrm>
          <a:off x="8067260" y="908740"/>
          <a:ext cx="1649481" cy="758825"/>
        </a:xfrm>
        <a:prstGeom prst="rect">
          <a:avLst/>
        </a:prstGeom>
        <a:solidFill>
          <a:schemeClr val="accen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/>
            <a:t>SAVE</a:t>
          </a:r>
        </a:p>
      </xdr:txBody>
    </xdr:sp>
    <xdr:clientData/>
  </xdr:twoCellAnchor>
  <xdr:twoCellAnchor>
    <xdr:from>
      <xdr:col>8</xdr:col>
      <xdr:colOff>701261</xdr:colOff>
      <xdr:row>19</xdr:row>
      <xdr:rowOff>0</xdr:rowOff>
    </xdr:from>
    <xdr:to>
      <xdr:col>11</xdr:col>
      <xdr:colOff>524565</xdr:colOff>
      <xdr:row>24</xdr:row>
      <xdr:rowOff>124654</xdr:rowOff>
    </xdr:to>
    <xdr:sp macro="[0]!PrintMacro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4916D2A1-1C20-F89E-257A-E21855B805DD}"/>
            </a:ext>
          </a:extLst>
        </xdr:cNvPr>
        <xdr:cNvSpPr/>
      </xdr:nvSpPr>
      <xdr:spPr>
        <a:xfrm>
          <a:off x="7774609" y="2368826"/>
          <a:ext cx="2109304" cy="671306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</a:p>
      </xdr:txBody>
    </xdr:sp>
    <xdr:clientData/>
  </xdr:twoCellAnchor>
  <xdr:twoCellAnchor>
    <xdr:from>
      <xdr:col>8</xdr:col>
      <xdr:colOff>556176</xdr:colOff>
      <xdr:row>26</xdr:row>
      <xdr:rowOff>136525</xdr:rowOff>
    </xdr:from>
    <xdr:to>
      <xdr:col>11</xdr:col>
      <xdr:colOff>662608</xdr:colOff>
      <xdr:row>253</xdr:row>
      <xdr:rowOff>33130</xdr:rowOff>
    </xdr:to>
    <xdr:sp macro="[0]!Copy" textlink="">
      <xdr:nvSpPr>
        <xdr:cNvPr id="5" name="Flowchart: Extract 4">
          <a:extLst>
            <a:ext uri="{FF2B5EF4-FFF2-40B4-BE49-F238E27FC236}">
              <a16:creationId xmlns:a16="http://schemas.microsoft.com/office/drawing/2014/main" id="{CAFAB70E-FC0C-18DE-6E3D-B1F4EFB59447}"/>
            </a:ext>
          </a:extLst>
        </xdr:cNvPr>
        <xdr:cNvSpPr/>
      </xdr:nvSpPr>
      <xdr:spPr>
        <a:xfrm>
          <a:off x="7629524" y="3416438"/>
          <a:ext cx="2392432" cy="1536562"/>
        </a:xfrm>
        <a:prstGeom prst="flowChartExtra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COPY</a:t>
          </a:r>
          <a:endParaRPr lang="en-GB" sz="2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199958" cy="405113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95AEBC-BC32-FB7F-02B0-83F62075358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32</xdr:row>
      <xdr:rowOff>104775</xdr:rowOff>
    </xdr:from>
    <xdr:to>
      <xdr:col>4</xdr:col>
      <xdr:colOff>523875</xdr:colOff>
      <xdr:row>34</xdr:row>
      <xdr:rowOff>171450</xdr:rowOff>
    </xdr:to>
    <xdr:sp macro="[0]!Printsheet" textlink="">
      <xdr:nvSpPr>
        <xdr:cNvPr id="2" name="Rectangle 1">
          <a:extLst>
            <a:ext uri="{FF2B5EF4-FFF2-40B4-BE49-F238E27FC236}">
              <a16:creationId xmlns:a16="http://schemas.microsoft.com/office/drawing/2014/main" id="{3C599C9C-0740-413C-A07F-B1B1CD14AFEA}"/>
            </a:ext>
          </a:extLst>
        </xdr:cNvPr>
        <xdr:cNvSpPr/>
      </xdr:nvSpPr>
      <xdr:spPr>
        <a:xfrm>
          <a:off x="9315450" y="6000750"/>
          <a:ext cx="895350" cy="4318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twoCellAnchor>
    <xdr:from>
      <xdr:col>5</xdr:col>
      <xdr:colOff>209550</xdr:colOff>
      <xdr:row>32</xdr:row>
      <xdr:rowOff>95250</xdr:rowOff>
    </xdr:from>
    <xdr:to>
      <xdr:col>6</xdr:col>
      <xdr:colOff>171450</xdr:colOff>
      <xdr:row>34</xdr:row>
      <xdr:rowOff>161925</xdr:rowOff>
    </xdr:to>
    <xdr:sp macro="[0]!savedocument" textlink="">
      <xdr:nvSpPr>
        <xdr:cNvPr id="3" name="Rectangle 2">
          <a:extLst>
            <a:ext uri="{FF2B5EF4-FFF2-40B4-BE49-F238E27FC236}">
              <a16:creationId xmlns:a16="http://schemas.microsoft.com/office/drawing/2014/main" id="{FB5D503E-AAE5-4F6C-8A17-B6963B6D9BC5}"/>
            </a:ext>
          </a:extLst>
        </xdr:cNvPr>
        <xdr:cNvSpPr/>
      </xdr:nvSpPr>
      <xdr:spPr>
        <a:xfrm>
          <a:off x="10655300" y="5988050"/>
          <a:ext cx="971550" cy="43815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6</xdr:col>
      <xdr:colOff>419100</xdr:colOff>
      <xdr:row>32</xdr:row>
      <xdr:rowOff>95250</xdr:rowOff>
    </xdr:from>
    <xdr:to>
      <xdr:col>6</xdr:col>
      <xdr:colOff>1162050</xdr:colOff>
      <xdr:row>34</xdr:row>
      <xdr:rowOff>161925</xdr:rowOff>
    </xdr:to>
    <xdr:sp macro="[0]!copyarea" textlink="">
      <xdr:nvSpPr>
        <xdr:cNvPr id="4" name="Rectangle 3">
          <a:extLst>
            <a:ext uri="{FF2B5EF4-FFF2-40B4-BE49-F238E27FC236}">
              <a16:creationId xmlns:a16="http://schemas.microsoft.com/office/drawing/2014/main" id="{15FE541D-D069-437F-B96F-DD57101C755B}"/>
            </a:ext>
          </a:extLst>
        </xdr:cNvPr>
        <xdr:cNvSpPr/>
      </xdr:nvSpPr>
      <xdr:spPr>
        <a:xfrm>
          <a:off x="11874500" y="5988050"/>
          <a:ext cx="742950" cy="43815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Copy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7D84FE-1D28-4CFC-9BED-7EB450EE890F}" name="TableGDP" displayName="TableGDP" ref="A1:D229" totalsRowShown="0" headerRowDxfId="22" dataDxfId="21">
  <autoFilter ref="A1:D229" xr:uid="{DB7D84FE-1D28-4CFC-9BED-7EB450EE890F}"/>
  <sortState xmlns:xlrd2="http://schemas.microsoft.com/office/spreadsheetml/2017/richdata2" ref="A2:D229">
    <sortCondition ref="A1:A229"/>
  </sortState>
  <tableColumns count="4">
    <tableColumn id="1" xr3:uid="{F03D3585-04B8-4ABD-87C0-7C05845FEF44}" name="Rank" dataDxfId="20"/>
    <tableColumn id="2" xr3:uid="{962FF6E5-612E-44F6-9937-B5B626062503}" name="Country" dataDxfId="19"/>
    <tableColumn id="3" xr3:uid="{E6232963-3325-4B20-92D8-D5D5E90355A8}" name="GDP - per capita (PPP)" dataDxfId="18"/>
    <tableColumn id="4" xr3:uid="{4635E863-536B-4C3D-AE6B-CFBA0D97CE71}" name="Year of Information" dataDxfId="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31C7C1-75E2-4F8F-9D83-8FC1ED84869C}" name="Table14" displayName="Table14" ref="A1:E228" totalsRowShown="0" headerRowDxfId="16" dataDxfId="15">
  <autoFilter ref="A1:E228" xr:uid="{DB7D84FE-1D28-4CFC-9BED-7EB450EE890F}"/>
  <tableColumns count="5">
    <tableColumn id="1" xr3:uid="{6C8E2105-7154-4D78-AA20-83F83593B905}" name="Rank" dataDxfId="14"/>
    <tableColumn id="2" xr3:uid="{8813DC1B-8BE3-448D-A24E-1ED3153BA206}" name="Country" dataDxfId="13"/>
    <tableColumn id="3" xr3:uid="{1A488C61-B81B-4B82-9A05-13D618E2674A}" name="GDP - per capita (PPP)" dataDxfId="12"/>
    <tableColumn id="4" xr3:uid="{F1F9608C-C3C1-4606-91A7-77E52931C97E}" name="Year of Information" dataDxfId="11"/>
    <tableColumn id="5" xr3:uid="{7E3CB064-1AFD-4B00-B42E-570ADBBB6E2E}" name="New Rank" dataDxfId="10">
      <calculatedColumnFormula array="1">_xlfn._xlws.SORT(_xlfn._xlws.FILTER(C2:C228,B2:B228=E2))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E762B1-8F10-4186-9438-8F042A2CBFA6}" name="GDPTop20" displayName="GDPTop20" ref="A1:E248" totalsRowShown="0" headerRowDxfId="9" dataDxfId="8">
  <autoFilter ref="A1:E248" xr:uid="{B6E762B1-8F10-4186-9438-8F042A2CBFA6}">
    <filterColumn colId="3">
      <filters>
        <filter val="2019"/>
      </filters>
    </filterColumn>
    <filterColumn colId="4">
      <customFilters>
        <customFilter operator="lessThanOrEqual" val="20"/>
      </customFilters>
    </filterColumn>
  </autoFilter>
  <sortState xmlns:xlrd2="http://schemas.microsoft.com/office/spreadsheetml/2017/richdata2" ref="A2:E228">
    <sortCondition ref="E2:E228"/>
  </sortState>
  <tableColumns count="5">
    <tableColumn id="2" xr3:uid="{117A90E0-B914-4537-999E-462DEBC9EDAF}" name="Country" dataDxfId="7"/>
    <tableColumn id="7" xr3:uid="{CDEE12A1-314C-40F5-870D-369194355E50}" name="Column2"/>
    <tableColumn id="3" xr3:uid="{22AB7953-7561-4638-B04F-0296F8FFC143}" name="GDP - per capita (PPP)" dataDxfId="6"/>
    <tableColumn id="4" xr3:uid="{60F94AE0-694A-4066-BF13-F2F744A84BEA}" name="Year of Information" dataDxfId="5"/>
    <tableColumn id="6" xr3:uid="{1FB7643F-610A-4AD2-BC1F-175F115667B9}" name=" Rank" dataDxfId="4">
      <calculatedColumnFormula array="1">SUMPRODUCT(SUBTOTAL(3,OFFSET($C$2:$C$288,ROW($C$2:$C$248)-MIN(ROW($C$2:$C$248)),0,1)),--(C2&lt;$C$2:$C$248))+1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06E4C0-F5E5-4656-9520-5A9A553209BB}" name="LifeExpectancy" displayName="LifeExpectancy" ref="A1:D197" totalsRowShown="0" headerRowDxfId="3">
  <autoFilter ref="A1:D197" xr:uid="{5206E4C0-F5E5-4656-9520-5A9A553209BB}"/>
  <sortState xmlns:xlrd2="http://schemas.microsoft.com/office/spreadsheetml/2017/richdata2" ref="A2:D197">
    <sortCondition ref="B1:B197"/>
  </sortState>
  <tableColumns count="4">
    <tableColumn id="1" xr3:uid="{40D432D3-5998-47A8-A5C4-DA9B6E9DF747}" name="Rank"/>
    <tableColumn id="2" xr3:uid="{4C85C5F6-B7D3-4F04-A55F-B52E7C3CF480}" name="Country"/>
    <tableColumn id="3" xr3:uid="{02A92389-F7D6-4B1C-A312-83CB1F0878E8}" name="Life expectancy at birth" dataDxfId="2" dataCellStyle="Comma"/>
    <tableColumn id="4" xr3:uid="{153372B7-FFFA-4419-94ED-C6B2F7439EE5}" name="Date of Informa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C94AE2-7100-4E0B-9300-CFBDAF86ED31}" name="Smartphones" displayName="Smartphones" ref="A1:D75" totalsRowShown="0" headerRowDxfId="1">
  <autoFilter ref="A1:D75" xr:uid="{2DC94AE2-7100-4E0B-9300-CFBDAF86ED31}"/>
  <sortState xmlns:xlrd2="http://schemas.microsoft.com/office/spreadsheetml/2017/richdata2" ref="A2:D75">
    <sortCondition ref="B1:B75"/>
  </sortState>
  <tableColumns count="4">
    <tableColumn id="1" xr3:uid="{B18DC1FD-3FE8-4945-B918-9485650FED6D}" name="Rank"/>
    <tableColumn id="2" xr3:uid="{4CFC3838-E08A-43A9-A0AB-EE7CEC01F3B7}" name="Country"/>
    <tableColumn id="3" xr3:uid="{2DA092DF-CB65-4A1D-9608-D8AC16ACC485}" name="Smartphone Users" dataDxfId="0" dataCellStyle="Comma"/>
    <tableColumn id="4" xr3:uid="{F377CDA7-815B-4F93-BC80-F1401B10B491}" name="Date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asis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Georgia">
      <a:majorFont>
        <a:latin typeface="Georgia" panose="020405020504050203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eorgia" panose="020405020504050203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asis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29"/>
  <sheetViews>
    <sheetView zoomScaleNormal="100" zoomScaleSheetLayoutView="100" workbookViewId="0">
      <selection activeCell="C5" sqref="C5"/>
    </sheetView>
  </sheetViews>
  <sheetFormatPr defaultRowHeight="14.25" x14ac:dyDescent="0.2"/>
  <cols>
    <col min="2" max="2" width="29.77734375" customWidth="1"/>
    <col min="3" max="3" width="24" customWidth="1"/>
    <col min="4" max="4" width="21.10937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>
        <v>1</v>
      </c>
      <c r="B2" t="s">
        <v>436</v>
      </c>
      <c r="C2">
        <v>190513</v>
      </c>
      <c r="D2">
        <v>2019</v>
      </c>
    </row>
    <row r="3" spans="1:4" x14ac:dyDescent="0.2">
      <c r="A3">
        <v>2</v>
      </c>
      <c r="B3" t="s">
        <v>5</v>
      </c>
      <c r="C3">
        <v>180367</v>
      </c>
      <c r="D3">
        <v>2018</v>
      </c>
    </row>
    <row r="4" spans="1:4" x14ac:dyDescent="0.2">
      <c r="A4">
        <v>3</v>
      </c>
      <c r="B4" t="s">
        <v>6</v>
      </c>
      <c r="C4">
        <v>123965</v>
      </c>
      <c r="D4">
        <v>2019</v>
      </c>
    </row>
    <row r="5" spans="1:4" x14ac:dyDescent="0.2">
      <c r="A5">
        <v>4</v>
      </c>
      <c r="B5" t="s">
        <v>7</v>
      </c>
      <c r="C5">
        <v>115874</v>
      </c>
      <c r="D5">
        <v>2020</v>
      </c>
    </row>
    <row r="6" spans="1:4" x14ac:dyDescent="0.2">
      <c r="A6">
        <v>5</v>
      </c>
      <c r="B6" t="s">
        <v>8</v>
      </c>
      <c r="C6">
        <v>97341</v>
      </c>
      <c r="D6">
        <v>2019</v>
      </c>
    </row>
    <row r="7" spans="1:4" x14ac:dyDescent="0.2">
      <c r="A7">
        <v>6</v>
      </c>
      <c r="B7" t="s">
        <v>9</v>
      </c>
      <c r="C7">
        <v>90044</v>
      </c>
      <c r="D7">
        <v>2019</v>
      </c>
    </row>
    <row r="8" spans="1:4" x14ac:dyDescent="0.2">
      <c r="A8">
        <v>7</v>
      </c>
      <c r="B8" t="s">
        <v>10</v>
      </c>
      <c r="C8">
        <v>86781</v>
      </c>
      <c r="D8">
        <v>2019</v>
      </c>
    </row>
    <row r="9" spans="1:4" x14ac:dyDescent="0.2">
      <c r="A9">
        <v>8</v>
      </c>
      <c r="B9" t="s">
        <v>11</v>
      </c>
      <c r="C9">
        <v>84600</v>
      </c>
      <c r="D9">
        <v>2014</v>
      </c>
    </row>
    <row r="10" spans="1:4" x14ac:dyDescent="0.2">
      <c r="A10">
        <v>9</v>
      </c>
      <c r="B10" t="s">
        <v>12</v>
      </c>
      <c r="C10">
        <v>81798</v>
      </c>
      <c r="D10">
        <v>2019</v>
      </c>
    </row>
    <row r="11" spans="1:4" x14ac:dyDescent="0.2">
      <c r="A11">
        <v>10</v>
      </c>
      <c r="B11" t="s">
        <v>13</v>
      </c>
      <c r="C11">
        <v>71549</v>
      </c>
      <c r="D11">
        <v>2018</v>
      </c>
    </row>
    <row r="12" spans="1:4" x14ac:dyDescent="0.2">
      <c r="A12">
        <v>11</v>
      </c>
      <c r="B12" t="s">
        <v>14</v>
      </c>
      <c r="C12">
        <v>70800</v>
      </c>
      <c r="D12">
        <v>2015</v>
      </c>
    </row>
    <row r="13" spans="1:4" x14ac:dyDescent="0.2">
      <c r="A13">
        <v>12</v>
      </c>
      <c r="B13" t="s">
        <v>15</v>
      </c>
      <c r="C13">
        <v>68628</v>
      </c>
      <c r="D13">
        <v>2019</v>
      </c>
    </row>
    <row r="14" spans="1:4" x14ac:dyDescent="0.2">
      <c r="A14">
        <v>13</v>
      </c>
      <c r="B14" t="s">
        <v>16</v>
      </c>
      <c r="C14">
        <v>67119</v>
      </c>
      <c r="D14">
        <v>2019</v>
      </c>
    </row>
    <row r="15" spans="1:4" x14ac:dyDescent="0.2">
      <c r="A15">
        <v>14</v>
      </c>
      <c r="B15" t="s">
        <v>17</v>
      </c>
      <c r="C15">
        <v>63633</v>
      </c>
      <c r="D15">
        <v>2019</v>
      </c>
    </row>
    <row r="16" spans="1:4" x14ac:dyDescent="0.2">
      <c r="A16">
        <v>15</v>
      </c>
      <c r="B16" t="s">
        <v>18</v>
      </c>
      <c r="C16">
        <v>62530</v>
      </c>
      <c r="D16">
        <v>2019</v>
      </c>
    </row>
    <row r="17" spans="1:4" x14ac:dyDescent="0.2">
      <c r="A17">
        <v>16</v>
      </c>
      <c r="B17" t="s">
        <v>19</v>
      </c>
      <c r="C17">
        <v>62100</v>
      </c>
      <c r="D17">
        <v>2019</v>
      </c>
    </row>
    <row r="18" spans="1:4" x14ac:dyDescent="0.2">
      <c r="A18">
        <v>17</v>
      </c>
      <c r="B18" t="s">
        <v>20</v>
      </c>
      <c r="C18">
        <v>61700</v>
      </c>
      <c r="D18">
        <v>2014</v>
      </c>
    </row>
    <row r="19" spans="1:4" x14ac:dyDescent="0.2">
      <c r="A19">
        <v>18</v>
      </c>
      <c r="B19" t="s">
        <v>21</v>
      </c>
      <c r="C19">
        <v>59848</v>
      </c>
      <c r="D19">
        <v>2019</v>
      </c>
    </row>
    <row r="20" spans="1:4" x14ac:dyDescent="0.2">
      <c r="A20">
        <v>19</v>
      </c>
      <c r="B20" t="s">
        <v>22</v>
      </c>
      <c r="C20">
        <v>59439</v>
      </c>
      <c r="D20">
        <v>2018</v>
      </c>
    </row>
    <row r="21" spans="1:4" x14ac:dyDescent="0.2">
      <c r="A21">
        <v>20</v>
      </c>
      <c r="B21" t="s">
        <v>23</v>
      </c>
      <c r="C21">
        <v>57804</v>
      </c>
      <c r="D21">
        <v>2019</v>
      </c>
    </row>
    <row r="22" spans="1:4" x14ac:dyDescent="0.2">
      <c r="A22">
        <v>21</v>
      </c>
      <c r="B22" t="s">
        <v>24</v>
      </c>
      <c r="C22">
        <v>56935</v>
      </c>
      <c r="D22">
        <v>2019</v>
      </c>
    </row>
    <row r="23" spans="1:4" x14ac:dyDescent="0.2">
      <c r="A23">
        <v>22</v>
      </c>
      <c r="B23" t="s">
        <v>25</v>
      </c>
      <c r="C23">
        <v>56600</v>
      </c>
      <c r="D23">
        <v>2016</v>
      </c>
    </row>
    <row r="24" spans="1:4" x14ac:dyDescent="0.2">
      <c r="A24">
        <v>23</v>
      </c>
      <c r="B24" t="s">
        <v>26</v>
      </c>
      <c r="C24">
        <v>56188</v>
      </c>
      <c r="D24">
        <v>2019</v>
      </c>
    </row>
    <row r="25" spans="1:4" x14ac:dyDescent="0.2">
      <c r="A25">
        <v>24</v>
      </c>
      <c r="B25" t="s">
        <v>27</v>
      </c>
      <c r="C25">
        <v>55874</v>
      </c>
      <c r="D25">
        <v>2019</v>
      </c>
    </row>
    <row r="26" spans="1:4" x14ac:dyDescent="0.2">
      <c r="A26">
        <v>25</v>
      </c>
      <c r="B26" t="s">
        <v>28</v>
      </c>
      <c r="C26">
        <v>53919</v>
      </c>
      <c r="D26">
        <v>2019</v>
      </c>
    </row>
    <row r="27" spans="1:4" x14ac:dyDescent="0.2">
      <c r="A27">
        <v>26</v>
      </c>
      <c r="B27" t="s">
        <v>29</v>
      </c>
      <c r="C27">
        <v>53240</v>
      </c>
      <c r="D27">
        <v>2019</v>
      </c>
    </row>
    <row r="28" spans="1:4" x14ac:dyDescent="0.2">
      <c r="A28">
        <v>27</v>
      </c>
      <c r="B28" t="s">
        <v>30</v>
      </c>
      <c r="C28">
        <v>52500</v>
      </c>
      <c r="D28">
        <v>2014</v>
      </c>
    </row>
    <row r="29" spans="1:4" x14ac:dyDescent="0.2">
      <c r="A29">
        <v>28</v>
      </c>
      <c r="B29" t="s">
        <v>31</v>
      </c>
      <c r="C29">
        <v>51934</v>
      </c>
      <c r="D29">
        <v>2019</v>
      </c>
    </row>
    <row r="30" spans="1:4" x14ac:dyDescent="0.2">
      <c r="A30">
        <v>29</v>
      </c>
      <c r="B30" t="s">
        <v>32</v>
      </c>
      <c r="C30">
        <v>50500</v>
      </c>
      <c r="D30">
        <v>2017</v>
      </c>
    </row>
    <row r="31" spans="1:4" x14ac:dyDescent="0.2">
      <c r="A31">
        <v>30</v>
      </c>
      <c r="B31" t="s">
        <v>33</v>
      </c>
      <c r="C31">
        <v>49900</v>
      </c>
      <c r="D31">
        <v>2015</v>
      </c>
    </row>
    <row r="32" spans="1:4" x14ac:dyDescent="0.2">
      <c r="A32">
        <v>31</v>
      </c>
      <c r="B32" t="s">
        <v>34</v>
      </c>
      <c r="C32">
        <v>49854</v>
      </c>
      <c r="D32">
        <v>2019</v>
      </c>
    </row>
    <row r="33" spans="1:4" x14ac:dyDescent="0.2">
      <c r="A33">
        <v>32</v>
      </c>
      <c r="B33" t="s">
        <v>35</v>
      </c>
      <c r="C33">
        <v>49854</v>
      </c>
      <c r="D33">
        <v>2019</v>
      </c>
    </row>
    <row r="34" spans="1:4" x14ac:dyDescent="0.2">
      <c r="A34">
        <v>33</v>
      </c>
      <c r="B34" t="s">
        <v>36</v>
      </c>
      <c r="C34">
        <v>49031</v>
      </c>
      <c r="D34">
        <v>2019</v>
      </c>
    </row>
    <row r="35" spans="1:4" x14ac:dyDescent="0.2">
      <c r="A35">
        <v>34</v>
      </c>
      <c r="B35" t="s">
        <v>37</v>
      </c>
      <c r="C35">
        <v>48668</v>
      </c>
      <c r="D35">
        <v>2019</v>
      </c>
    </row>
    <row r="36" spans="1:4" x14ac:dyDescent="0.2">
      <c r="A36">
        <v>35</v>
      </c>
      <c r="B36" t="s">
        <v>38</v>
      </c>
      <c r="C36">
        <v>46962</v>
      </c>
      <c r="D36">
        <v>2019</v>
      </c>
    </row>
    <row r="37" spans="1:4" x14ac:dyDescent="0.2">
      <c r="A37">
        <v>36</v>
      </c>
      <c r="B37" t="s">
        <v>39</v>
      </c>
      <c r="C37">
        <v>46659</v>
      </c>
      <c r="D37">
        <v>2019</v>
      </c>
    </row>
    <row r="38" spans="1:4" x14ac:dyDescent="0.2">
      <c r="A38">
        <v>37</v>
      </c>
      <c r="B38" t="s">
        <v>40</v>
      </c>
      <c r="C38">
        <v>46200</v>
      </c>
      <c r="D38">
        <v>2006</v>
      </c>
    </row>
    <row r="39" spans="1:4" x14ac:dyDescent="0.2">
      <c r="A39">
        <v>38</v>
      </c>
      <c r="B39" t="s">
        <v>41</v>
      </c>
      <c r="C39">
        <v>46184</v>
      </c>
      <c r="D39">
        <v>2019</v>
      </c>
    </row>
    <row r="40" spans="1:4" x14ac:dyDescent="0.2">
      <c r="A40">
        <v>39</v>
      </c>
      <c r="B40" t="s">
        <v>42</v>
      </c>
      <c r="C40">
        <v>45011</v>
      </c>
      <c r="D40">
        <v>2019</v>
      </c>
    </row>
    <row r="41" spans="1:4" x14ac:dyDescent="0.2">
      <c r="A41">
        <v>40</v>
      </c>
      <c r="B41" t="s">
        <v>43</v>
      </c>
      <c r="C41">
        <v>44436</v>
      </c>
      <c r="D41">
        <v>2019</v>
      </c>
    </row>
    <row r="42" spans="1:4" x14ac:dyDescent="0.2">
      <c r="A42">
        <v>41</v>
      </c>
      <c r="B42" t="s">
        <v>44</v>
      </c>
      <c r="C42">
        <v>44032</v>
      </c>
      <c r="D42">
        <v>2019</v>
      </c>
    </row>
    <row r="43" spans="1:4" x14ac:dyDescent="0.2">
      <c r="A43">
        <v>42</v>
      </c>
      <c r="B43" t="s">
        <v>45</v>
      </c>
      <c r="C43">
        <v>42888</v>
      </c>
      <c r="D43">
        <v>2019</v>
      </c>
    </row>
    <row r="44" spans="1:4" x14ac:dyDescent="0.2">
      <c r="A44">
        <v>43</v>
      </c>
      <c r="B44" t="s">
        <v>46</v>
      </c>
      <c r="C44">
        <v>42765</v>
      </c>
      <c r="D44">
        <v>2019</v>
      </c>
    </row>
    <row r="45" spans="1:4" x14ac:dyDescent="0.2">
      <c r="A45">
        <v>44</v>
      </c>
      <c r="B45" t="s">
        <v>47</v>
      </c>
      <c r="C45">
        <v>42492</v>
      </c>
      <c r="D45">
        <v>2019</v>
      </c>
    </row>
    <row r="46" spans="1:4" x14ac:dyDescent="0.2">
      <c r="A46">
        <v>45</v>
      </c>
      <c r="B46" t="s">
        <v>48</v>
      </c>
      <c r="C46">
        <v>41800</v>
      </c>
      <c r="D46">
        <v>2015</v>
      </c>
    </row>
    <row r="47" spans="1:4" x14ac:dyDescent="0.2">
      <c r="A47">
        <v>46</v>
      </c>
      <c r="B47" t="s">
        <v>49</v>
      </c>
      <c r="C47">
        <v>41429</v>
      </c>
      <c r="D47">
        <v>2019</v>
      </c>
    </row>
    <row r="48" spans="1:4" x14ac:dyDescent="0.2">
      <c r="A48">
        <v>47</v>
      </c>
      <c r="B48" t="s">
        <v>50</v>
      </c>
      <c r="C48">
        <v>40903</v>
      </c>
      <c r="D48">
        <v>2019</v>
      </c>
    </row>
    <row r="49" spans="1:4" x14ac:dyDescent="0.2">
      <c r="A49">
        <v>48</v>
      </c>
      <c r="B49" t="s">
        <v>51</v>
      </c>
      <c r="C49">
        <v>40862</v>
      </c>
      <c r="D49">
        <v>2019</v>
      </c>
    </row>
    <row r="50" spans="1:4" x14ac:dyDescent="0.2">
      <c r="A50">
        <v>49</v>
      </c>
      <c r="B50" t="s">
        <v>52</v>
      </c>
      <c r="C50">
        <v>40145</v>
      </c>
      <c r="D50">
        <v>2019</v>
      </c>
    </row>
    <row r="51" spans="1:4" x14ac:dyDescent="0.2">
      <c r="A51">
        <v>50</v>
      </c>
      <c r="B51" t="s">
        <v>53</v>
      </c>
      <c r="C51">
        <v>40000</v>
      </c>
      <c r="D51">
        <v>2014</v>
      </c>
    </row>
    <row r="52" spans="1:4" x14ac:dyDescent="0.2">
      <c r="A52">
        <v>51</v>
      </c>
      <c r="B52" t="s">
        <v>54</v>
      </c>
      <c r="C52">
        <v>39545</v>
      </c>
      <c r="D52">
        <v>2019</v>
      </c>
    </row>
    <row r="53" spans="1:4" x14ac:dyDescent="0.2">
      <c r="A53">
        <v>52</v>
      </c>
      <c r="B53" t="s">
        <v>55</v>
      </c>
      <c r="C53">
        <v>39088</v>
      </c>
      <c r="D53">
        <v>2019</v>
      </c>
    </row>
    <row r="54" spans="1:4" x14ac:dyDescent="0.2">
      <c r="A54">
        <v>53</v>
      </c>
      <c r="B54" t="s">
        <v>56</v>
      </c>
      <c r="C54">
        <v>37500</v>
      </c>
      <c r="D54">
        <v>2017</v>
      </c>
    </row>
    <row r="55" spans="1:4" x14ac:dyDescent="0.2">
      <c r="A55">
        <v>54</v>
      </c>
      <c r="B55" t="s">
        <v>57</v>
      </c>
      <c r="C55">
        <v>37231</v>
      </c>
      <c r="D55">
        <v>2019</v>
      </c>
    </row>
    <row r="56" spans="1:4" x14ac:dyDescent="0.2">
      <c r="A56">
        <v>55</v>
      </c>
      <c r="B56" t="s">
        <v>58</v>
      </c>
      <c r="C56">
        <v>37101</v>
      </c>
      <c r="D56">
        <v>2019</v>
      </c>
    </row>
    <row r="57" spans="1:4" x14ac:dyDescent="0.2">
      <c r="A57">
        <v>56</v>
      </c>
      <c r="B57" t="s">
        <v>59</v>
      </c>
      <c r="C57">
        <v>37000</v>
      </c>
      <c r="D57">
        <v>2016</v>
      </c>
    </row>
    <row r="58" spans="1:4" x14ac:dyDescent="0.2">
      <c r="A58">
        <v>57</v>
      </c>
      <c r="B58" t="s">
        <v>60</v>
      </c>
      <c r="C58">
        <v>36927</v>
      </c>
      <c r="D58">
        <v>2019</v>
      </c>
    </row>
    <row r="59" spans="1:4" x14ac:dyDescent="0.2">
      <c r="A59">
        <v>58</v>
      </c>
      <c r="B59" t="s">
        <v>61</v>
      </c>
      <c r="C59">
        <v>35600</v>
      </c>
      <c r="D59">
        <v>2016</v>
      </c>
    </row>
    <row r="60" spans="1:4" x14ac:dyDescent="0.2">
      <c r="A60">
        <v>59</v>
      </c>
      <c r="B60" t="s">
        <v>62</v>
      </c>
      <c r="C60">
        <v>35342</v>
      </c>
      <c r="D60">
        <v>2018</v>
      </c>
    </row>
    <row r="61" spans="1:4" x14ac:dyDescent="0.2">
      <c r="A61">
        <v>60</v>
      </c>
      <c r="B61" t="s">
        <v>63</v>
      </c>
      <c r="C61">
        <v>34894</v>
      </c>
      <c r="D61">
        <v>2019</v>
      </c>
    </row>
    <row r="62" spans="1:4" x14ac:dyDescent="0.2">
      <c r="A62">
        <v>61</v>
      </c>
      <c r="B62" t="s">
        <v>64</v>
      </c>
      <c r="C62">
        <v>34518</v>
      </c>
      <c r="D62">
        <v>2019</v>
      </c>
    </row>
    <row r="63" spans="1:4" x14ac:dyDescent="0.2">
      <c r="A63">
        <v>62</v>
      </c>
      <c r="B63" t="s">
        <v>65</v>
      </c>
      <c r="C63">
        <v>34200</v>
      </c>
      <c r="D63">
        <v>2017</v>
      </c>
    </row>
    <row r="64" spans="1:4" x14ac:dyDescent="0.2">
      <c r="A64">
        <v>63</v>
      </c>
      <c r="B64" t="s">
        <v>66</v>
      </c>
      <c r="C64">
        <v>33221</v>
      </c>
      <c r="D64">
        <v>2019</v>
      </c>
    </row>
    <row r="65" spans="1:4" x14ac:dyDescent="0.2">
      <c r="A65">
        <v>64</v>
      </c>
      <c r="B65" t="s">
        <v>67</v>
      </c>
      <c r="C65">
        <v>32945</v>
      </c>
      <c r="D65">
        <v>2019</v>
      </c>
    </row>
    <row r="66" spans="1:4" x14ac:dyDescent="0.2">
      <c r="A66">
        <v>65</v>
      </c>
      <c r="B66" t="s">
        <v>68</v>
      </c>
      <c r="C66">
        <v>32730</v>
      </c>
      <c r="D66">
        <v>2019</v>
      </c>
    </row>
    <row r="67" spans="1:4" x14ac:dyDescent="0.2">
      <c r="A67">
        <v>66</v>
      </c>
      <c r="B67" t="s">
        <v>69</v>
      </c>
      <c r="C67">
        <v>31459</v>
      </c>
      <c r="D67">
        <v>2019</v>
      </c>
    </row>
    <row r="68" spans="1:4" x14ac:dyDescent="0.2">
      <c r="A68">
        <v>67</v>
      </c>
      <c r="B68" t="s">
        <v>70</v>
      </c>
      <c r="C68">
        <v>31100</v>
      </c>
      <c r="D68">
        <v>2015</v>
      </c>
    </row>
    <row r="69" spans="1:4" x14ac:dyDescent="0.2">
      <c r="A69">
        <v>68</v>
      </c>
      <c r="B69" t="s">
        <v>71</v>
      </c>
      <c r="C69">
        <v>30898</v>
      </c>
      <c r="D69">
        <v>2019</v>
      </c>
    </row>
    <row r="70" spans="1:4" x14ac:dyDescent="0.2">
      <c r="A70">
        <v>69</v>
      </c>
      <c r="B70" t="s">
        <v>72</v>
      </c>
      <c r="C70">
        <v>29941</v>
      </c>
      <c r="D70">
        <v>2019</v>
      </c>
    </row>
    <row r="71" spans="1:4" x14ac:dyDescent="0.2">
      <c r="A71">
        <v>70</v>
      </c>
      <c r="B71" t="s">
        <v>73</v>
      </c>
      <c r="C71">
        <v>29799</v>
      </c>
      <c r="D71">
        <v>2019</v>
      </c>
    </row>
    <row r="72" spans="1:4" x14ac:dyDescent="0.2">
      <c r="A72">
        <v>71</v>
      </c>
      <c r="B72" t="s">
        <v>74</v>
      </c>
      <c r="C72">
        <v>29253</v>
      </c>
      <c r="D72">
        <v>2019</v>
      </c>
    </row>
    <row r="73" spans="1:4" x14ac:dyDescent="0.2">
      <c r="A73">
        <v>72</v>
      </c>
      <c r="B73" t="s">
        <v>75</v>
      </c>
      <c r="C73">
        <v>29223</v>
      </c>
      <c r="D73">
        <v>2019</v>
      </c>
    </row>
    <row r="74" spans="1:4" x14ac:dyDescent="0.2">
      <c r="A74">
        <v>73</v>
      </c>
      <c r="B74" t="s">
        <v>76</v>
      </c>
      <c r="C74">
        <v>28602</v>
      </c>
      <c r="D74">
        <v>2019</v>
      </c>
    </row>
    <row r="75" spans="1:4" x14ac:dyDescent="0.2">
      <c r="A75">
        <v>74</v>
      </c>
      <c r="B75" t="s">
        <v>77</v>
      </c>
      <c r="C75">
        <v>28424</v>
      </c>
      <c r="D75">
        <v>2019</v>
      </c>
    </row>
    <row r="76" spans="1:4" x14ac:dyDescent="0.2">
      <c r="A76">
        <v>75</v>
      </c>
      <c r="B76" t="s">
        <v>78</v>
      </c>
      <c r="C76">
        <v>28364</v>
      </c>
      <c r="D76">
        <v>2019</v>
      </c>
    </row>
    <row r="77" spans="1:4" x14ac:dyDescent="0.2">
      <c r="A77">
        <v>76</v>
      </c>
      <c r="B77" t="s">
        <v>79</v>
      </c>
      <c r="C77">
        <v>27299</v>
      </c>
      <c r="D77">
        <v>2019</v>
      </c>
    </row>
    <row r="78" spans="1:4" x14ac:dyDescent="0.2">
      <c r="A78">
        <v>77</v>
      </c>
      <c r="B78" t="s">
        <v>80</v>
      </c>
      <c r="C78">
        <v>27044</v>
      </c>
      <c r="D78">
        <v>2019</v>
      </c>
    </row>
    <row r="79" spans="1:4" x14ac:dyDescent="0.2">
      <c r="A79">
        <v>78</v>
      </c>
      <c r="B79" t="s">
        <v>81</v>
      </c>
      <c r="C79">
        <v>26438</v>
      </c>
      <c r="D79">
        <v>2019</v>
      </c>
    </row>
    <row r="80" spans="1:4" x14ac:dyDescent="0.2">
      <c r="A80">
        <v>79</v>
      </c>
      <c r="B80" t="s">
        <v>82</v>
      </c>
      <c r="C80">
        <v>26351</v>
      </c>
      <c r="D80">
        <v>2019</v>
      </c>
    </row>
    <row r="81" spans="1:4" x14ac:dyDescent="0.2">
      <c r="A81">
        <v>80</v>
      </c>
      <c r="B81" t="s">
        <v>83</v>
      </c>
      <c r="C81">
        <v>26176</v>
      </c>
      <c r="D81">
        <v>2019</v>
      </c>
    </row>
    <row r="82" spans="1:4" x14ac:dyDescent="0.2">
      <c r="A82">
        <v>81</v>
      </c>
      <c r="B82" t="s">
        <v>84</v>
      </c>
      <c r="C82">
        <v>24500</v>
      </c>
      <c r="D82">
        <v>2016</v>
      </c>
    </row>
    <row r="83" spans="1:4" x14ac:dyDescent="0.2">
      <c r="A83">
        <v>82</v>
      </c>
      <c r="B83" t="s">
        <v>85</v>
      </c>
      <c r="C83">
        <v>24479</v>
      </c>
      <c r="D83">
        <v>2019</v>
      </c>
    </row>
    <row r="84" spans="1:4" x14ac:dyDescent="0.2">
      <c r="A84">
        <v>83</v>
      </c>
      <c r="B84" t="s">
        <v>86</v>
      </c>
      <c r="C84">
        <v>24226</v>
      </c>
      <c r="D84">
        <v>2019</v>
      </c>
    </row>
    <row r="85" spans="1:4" x14ac:dyDescent="0.2">
      <c r="A85">
        <v>84</v>
      </c>
      <c r="B85" t="s">
        <v>87</v>
      </c>
      <c r="C85">
        <v>23174</v>
      </c>
      <c r="D85">
        <v>2019</v>
      </c>
    </row>
    <row r="86" spans="1:4" x14ac:dyDescent="0.2">
      <c r="A86">
        <v>85</v>
      </c>
      <c r="B86" t="s">
        <v>88</v>
      </c>
      <c r="C86">
        <v>22870</v>
      </c>
      <c r="D86">
        <v>2019</v>
      </c>
    </row>
    <row r="87" spans="1:4" x14ac:dyDescent="0.2">
      <c r="A87">
        <v>86</v>
      </c>
      <c r="B87" t="s">
        <v>89</v>
      </c>
      <c r="C87">
        <v>22064</v>
      </c>
      <c r="D87">
        <v>2019</v>
      </c>
    </row>
    <row r="88" spans="1:4" x14ac:dyDescent="0.2">
      <c r="A88">
        <v>87</v>
      </c>
      <c r="B88" t="s">
        <v>90</v>
      </c>
      <c r="C88">
        <v>21910</v>
      </c>
      <c r="D88">
        <v>2019</v>
      </c>
    </row>
    <row r="89" spans="1:4" x14ac:dyDescent="0.2">
      <c r="A89">
        <v>88</v>
      </c>
      <c r="B89" t="s">
        <v>91</v>
      </c>
      <c r="C89">
        <v>21561</v>
      </c>
      <c r="D89">
        <v>2019</v>
      </c>
    </row>
    <row r="90" spans="1:4" x14ac:dyDescent="0.2">
      <c r="A90">
        <v>89</v>
      </c>
      <c r="B90" t="s">
        <v>92</v>
      </c>
      <c r="C90">
        <v>21470</v>
      </c>
      <c r="D90">
        <v>2019</v>
      </c>
    </row>
    <row r="91" spans="1:4" x14ac:dyDescent="0.2">
      <c r="A91">
        <v>90</v>
      </c>
      <c r="B91" t="s">
        <v>93</v>
      </c>
      <c r="C91">
        <v>19796</v>
      </c>
      <c r="D91">
        <v>2019</v>
      </c>
    </row>
    <row r="92" spans="1:4" x14ac:dyDescent="0.2">
      <c r="A92">
        <v>91</v>
      </c>
      <c r="B92" t="s">
        <v>94</v>
      </c>
      <c r="C92">
        <v>19642</v>
      </c>
      <c r="D92">
        <v>2019</v>
      </c>
    </row>
    <row r="93" spans="1:4" x14ac:dyDescent="0.2">
      <c r="A93">
        <v>92</v>
      </c>
      <c r="B93" t="s">
        <v>95</v>
      </c>
      <c r="C93">
        <v>19531</v>
      </c>
      <c r="D93">
        <v>2019</v>
      </c>
    </row>
    <row r="94" spans="1:4" x14ac:dyDescent="0.2">
      <c r="A94">
        <v>93</v>
      </c>
      <c r="B94" t="s">
        <v>96</v>
      </c>
      <c r="C94">
        <v>19300</v>
      </c>
      <c r="D94">
        <v>2005</v>
      </c>
    </row>
    <row r="95" spans="1:4" x14ac:dyDescent="0.2">
      <c r="A95">
        <v>94</v>
      </c>
      <c r="B95" t="s">
        <v>97</v>
      </c>
      <c r="C95">
        <v>19150</v>
      </c>
      <c r="D95">
        <v>2019</v>
      </c>
    </row>
    <row r="96" spans="1:4" x14ac:dyDescent="0.2">
      <c r="A96">
        <v>95</v>
      </c>
      <c r="B96" t="s">
        <v>98</v>
      </c>
      <c r="C96">
        <v>18558</v>
      </c>
      <c r="D96">
        <v>2019</v>
      </c>
    </row>
    <row r="97" spans="1:4" x14ac:dyDescent="0.2">
      <c r="A97">
        <v>96</v>
      </c>
      <c r="B97" t="s">
        <v>99</v>
      </c>
      <c r="C97">
        <v>18460</v>
      </c>
      <c r="D97">
        <v>2019</v>
      </c>
    </row>
    <row r="98" spans="1:4" x14ac:dyDescent="0.2">
      <c r="A98">
        <v>97</v>
      </c>
      <c r="B98" t="s">
        <v>100</v>
      </c>
      <c r="C98">
        <v>18413</v>
      </c>
      <c r="D98">
        <v>2019</v>
      </c>
    </row>
    <row r="99" spans="1:4" x14ac:dyDescent="0.2">
      <c r="A99">
        <v>98</v>
      </c>
      <c r="B99" t="s">
        <v>101</v>
      </c>
      <c r="C99">
        <v>18233</v>
      </c>
      <c r="D99">
        <v>2019</v>
      </c>
    </row>
    <row r="100" spans="1:4" x14ac:dyDescent="0.2">
      <c r="A100">
        <v>99</v>
      </c>
      <c r="B100" t="s">
        <v>102</v>
      </c>
      <c r="C100">
        <v>17767</v>
      </c>
      <c r="D100">
        <v>2019</v>
      </c>
    </row>
    <row r="101" spans="1:4" x14ac:dyDescent="0.2">
      <c r="A101">
        <v>100</v>
      </c>
      <c r="B101" t="s">
        <v>103</v>
      </c>
      <c r="C101">
        <v>17579</v>
      </c>
      <c r="D101">
        <v>2019</v>
      </c>
    </row>
    <row r="102" spans="1:4" x14ac:dyDescent="0.2">
      <c r="A102">
        <v>101</v>
      </c>
      <c r="B102" t="s">
        <v>104</v>
      </c>
      <c r="C102">
        <v>17500</v>
      </c>
      <c r="D102">
        <v>2017</v>
      </c>
    </row>
    <row r="103" spans="1:4" x14ac:dyDescent="0.2">
      <c r="A103">
        <v>102</v>
      </c>
      <c r="B103" t="s">
        <v>105</v>
      </c>
      <c r="C103">
        <v>17039</v>
      </c>
      <c r="D103">
        <v>2019</v>
      </c>
    </row>
    <row r="104" spans="1:4" x14ac:dyDescent="0.2">
      <c r="A104">
        <v>103</v>
      </c>
      <c r="B104" t="s">
        <v>106</v>
      </c>
      <c r="C104">
        <v>17000</v>
      </c>
      <c r="D104">
        <v>2015</v>
      </c>
    </row>
    <row r="105" spans="1:4" x14ac:dyDescent="0.2">
      <c r="A105">
        <v>104</v>
      </c>
      <c r="B105" t="s">
        <v>107</v>
      </c>
      <c r="C105">
        <v>16700</v>
      </c>
      <c r="D105">
        <v>2016</v>
      </c>
    </row>
    <row r="106" spans="1:4" x14ac:dyDescent="0.2">
      <c r="A106">
        <v>105</v>
      </c>
      <c r="B106" t="s">
        <v>108</v>
      </c>
      <c r="C106">
        <v>16525</v>
      </c>
      <c r="D106">
        <v>2019</v>
      </c>
    </row>
    <row r="107" spans="1:4" x14ac:dyDescent="0.2">
      <c r="A107">
        <v>106</v>
      </c>
      <c r="B107" t="s">
        <v>109</v>
      </c>
      <c r="C107">
        <v>16479</v>
      </c>
      <c r="D107">
        <v>2019</v>
      </c>
    </row>
    <row r="108" spans="1:4" x14ac:dyDescent="0.2">
      <c r="A108">
        <v>107</v>
      </c>
      <c r="B108" t="s">
        <v>110</v>
      </c>
      <c r="C108">
        <v>16117</v>
      </c>
      <c r="D108">
        <v>2019</v>
      </c>
    </row>
    <row r="109" spans="1:4" x14ac:dyDescent="0.2">
      <c r="A109">
        <v>108</v>
      </c>
      <c r="B109" t="s">
        <v>111</v>
      </c>
      <c r="C109">
        <v>15639</v>
      </c>
      <c r="D109">
        <v>2019</v>
      </c>
    </row>
    <row r="110" spans="1:4" x14ac:dyDescent="0.2">
      <c r="A110">
        <v>109</v>
      </c>
      <c r="B110" t="s">
        <v>112</v>
      </c>
      <c r="C110">
        <v>15449</v>
      </c>
      <c r="D110">
        <v>2019</v>
      </c>
    </row>
    <row r="111" spans="1:4" x14ac:dyDescent="0.2">
      <c r="A111">
        <v>110</v>
      </c>
      <c r="B111" t="s">
        <v>113</v>
      </c>
      <c r="C111">
        <v>15174</v>
      </c>
      <c r="D111">
        <v>2019</v>
      </c>
    </row>
    <row r="112" spans="1:4" x14ac:dyDescent="0.2">
      <c r="A112">
        <v>111</v>
      </c>
      <c r="B112" t="s">
        <v>114</v>
      </c>
      <c r="C112">
        <v>14992</v>
      </c>
      <c r="D112">
        <v>2019</v>
      </c>
    </row>
    <row r="113" spans="1:4" x14ac:dyDescent="0.2">
      <c r="A113">
        <v>112</v>
      </c>
      <c r="B113" t="s">
        <v>115</v>
      </c>
      <c r="C113">
        <v>14950</v>
      </c>
      <c r="D113">
        <v>2019</v>
      </c>
    </row>
    <row r="114" spans="1:4" x14ac:dyDescent="0.2">
      <c r="A114">
        <v>113</v>
      </c>
      <c r="B114" t="s">
        <v>116</v>
      </c>
      <c r="C114">
        <v>14912</v>
      </c>
      <c r="D114">
        <v>2019</v>
      </c>
    </row>
    <row r="115" spans="1:4" x14ac:dyDescent="0.2">
      <c r="A115">
        <v>114</v>
      </c>
      <c r="B115" t="s">
        <v>117</v>
      </c>
      <c r="C115">
        <v>14845</v>
      </c>
      <c r="D115">
        <v>2018</v>
      </c>
    </row>
    <row r="116" spans="1:4" x14ac:dyDescent="0.2">
      <c r="A116">
        <v>115</v>
      </c>
      <c r="B116" t="s">
        <v>118</v>
      </c>
      <c r="C116">
        <v>14722</v>
      </c>
      <c r="D116">
        <v>2019</v>
      </c>
    </row>
    <row r="117" spans="1:4" x14ac:dyDescent="0.2">
      <c r="A117">
        <v>116</v>
      </c>
      <c r="B117" t="s">
        <v>119</v>
      </c>
      <c r="C117">
        <v>14652</v>
      </c>
      <c r="D117">
        <v>2019</v>
      </c>
    </row>
    <row r="118" spans="1:4" x14ac:dyDescent="0.2">
      <c r="A118">
        <v>117</v>
      </c>
      <c r="B118" t="s">
        <v>120</v>
      </c>
      <c r="C118">
        <v>14552</v>
      </c>
      <c r="D118">
        <v>2019</v>
      </c>
    </row>
    <row r="119" spans="1:4" x14ac:dyDescent="0.2">
      <c r="A119">
        <v>118</v>
      </c>
      <c r="B119" t="s">
        <v>121</v>
      </c>
      <c r="C119">
        <v>14404</v>
      </c>
      <c r="D119">
        <v>2019</v>
      </c>
    </row>
    <row r="120" spans="1:4" x14ac:dyDescent="0.2">
      <c r="A120">
        <v>119</v>
      </c>
      <c r="B120" t="s">
        <v>122</v>
      </c>
      <c r="C120">
        <v>13965</v>
      </c>
      <c r="D120">
        <v>2019</v>
      </c>
    </row>
    <row r="121" spans="1:4" x14ac:dyDescent="0.2">
      <c r="A121">
        <v>120</v>
      </c>
      <c r="B121" t="s">
        <v>123</v>
      </c>
      <c r="C121">
        <v>13684</v>
      </c>
      <c r="D121">
        <v>2019</v>
      </c>
    </row>
    <row r="122" spans="1:4" x14ac:dyDescent="0.2">
      <c r="A122">
        <v>121</v>
      </c>
      <c r="B122" t="s">
        <v>124</v>
      </c>
      <c r="C122">
        <v>13654</v>
      </c>
      <c r="D122">
        <v>2019</v>
      </c>
    </row>
    <row r="123" spans="1:4" x14ac:dyDescent="0.2">
      <c r="A123">
        <v>122</v>
      </c>
      <c r="B123" t="s">
        <v>125</v>
      </c>
      <c r="C123">
        <v>13082</v>
      </c>
      <c r="D123">
        <v>2019</v>
      </c>
    </row>
    <row r="124" spans="1:4" x14ac:dyDescent="0.2">
      <c r="A124">
        <v>123</v>
      </c>
      <c r="B124" t="s">
        <v>126</v>
      </c>
      <c r="C124">
        <v>13078</v>
      </c>
      <c r="D124">
        <v>2019</v>
      </c>
    </row>
    <row r="125" spans="1:4" x14ac:dyDescent="0.2">
      <c r="A125">
        <v>124</v>
      </c>
      <c r="B125" t="s">
        <v>127</v>
      </c>
      <c r="C125">
        <v>13050</v>
      </c>
      <c r="D125">
        <v>2019</v>
      </c>
    </row>
    <row r="126" spans="1:4" x14ac:dyDescent="0.2">
      <c r="A126">
        <v>125</v>
      </c>
      <c r="B126" t="s">
        <v>128</v>
      </c>
      <c r="C126">
        <v>12848</v>
      </c>
      <c r="D126">
        <v>2019</v>
      </c>
    </row>
    <row r="127" spans="1:4" x14ac:dyDescent="0.2">
      <c r="A127">
        <v>126</v>
      </c>
      <c r="B127" t="s">
        <v>129</v>
      </c>
      <c r="C127">
        <v>12810</v>
      </c>
      <c r="D127">
        <v>2019</v>
      </c>
    </row>
    <row r="128" spans="1:4" x14ac:dyDescent="0.2">
      <c r="A128">
        <v>127</v>
      </c>
      <c r="B128" t="s">
        <v>130</v>
      </c>
      <c r="C128">
        <v>12685</v>
      </c>
      <c r="D128">
        <v>2019</v>
      </c>
    </row>
    <row r="129" spans="1:4" x14ac:dyDescent="0.2">
      <c r="A129">
        <v>128</v>
      </c>
      <c r="B129" t="s">
        <v>131</v>
      </c>
      <c r="C129">
        <v>12485</v>
      </c>
      <c r="D129">
        <v>2019</v>
      </c>
    </row>
    <row r="130" spans="1:4" x14ac:dyDescent="0.2">
      <c r="A130">
        <v>129</v>
      </c>
      <c r="B130" t="s">
        <v>132</v>
      </c>
      <c r="C130">
        <v>12482</v>
      </c>
      <c r="D130">
        <v>2019</v>
      </c>
    </row>
    <row r="131" spans="1:4" x14ac:dyDescent="0.2">
      <c r="A131">
        <v>130</v>
      </c>
      <c r="B131" t="s">
        <v>133</v>
      </c>
      <c r="C131">
        <v>12389</v>
      </c>
      <c r="D131">
        <v>2019</v>
      </c>
    </row>
    <row r="132" spans="1:4" x14ac:dyDescent="0.2">
      <c r="A132">
        <v>131</v>
      </c>
      <c r="B132" t="s">
        <v>134</v>
      </c>
      <c r="C132">
        <v>12317</v>
      </c>
      <c r="D132">
        <v>2019</v>
      </c>
    </row>
    <row r="133" spans="1:4" x14ac:dyDescent="0.2">
      <c r="A133">
        <v>132</v>
      </c>
      <c r="B133" t="s">
        <v>135</v>
      </c>
      <c r="C133">
        <v>12300</v>
      </c>
      <c r="D133">
        <v>2016</v>
      </c>
    </row>
    <row r="134" spans="1:4" x14ac:dyDescent="0.2">
      <c r="A134">
        <v>133</v>
      </c>
      <c r="B134" t="s">
        <v>136</v>
      </c>
      <c r="C134">
        <v>12200</v>
      </c>
      <c r="D134">
        <v>2008</v>
      </c>
    </row>
    <row r="135" spans="1:4" x14ac:dyDescent="0.2">
      <c r="A135">
        <v>134</v>
      </c>
      <c r="B135" t="s">
        <v>137</v>
      </c>
      <c r="C135">
        <v>11917</v>
      </c>
      <c r="D135">
        <v>2019</v>
      </c>
    </row>
    <row r="136" spans="1:4" x14ac:dyDescent="0.2">
      <c r="A136">
        <v>135</v>
      </c>
      <c r="B136" t="s">
        <v>138</v>
      </c>
      <c r="C136">
        <v>11832</v>
      </c>
      <c r="D136">
        <v>2019</v>
      </c>
    </row>
    <row r="137" spans="1:4" x14ac:dyDescent="0.2">
      <c r="A137">
        <v>136</v>
      </c>
      <c r="B137" t="s">
        <v>139</v>
      </c>
      <c r="C137">
        <v>11812</v>
      </c>
      <c r="D137">
        <v>2019</v>
      </c>
    </row>
    <row r="138" spans="1:4" x14ac:dyDescent="0.2">
      <c r="A138">
        <v>137</v>
      </c>
      <c r="B138" t="s">
        <v>140</v>
      </c>
      <c r="C138">
        <v>11763</v>
      </c>
      <c r="D138">
        <v>2019</v>
      </c>
    </row>
    <row r="139" spans="1:4" x14ac:dyDescent="0.2">
      <c r="A139">
        <v>138</v>
      </c>
      <c r="B139" t="s">
        <v>141</v>
      </c>
      <c r="C139">
        <v>11583</v>
      </c>
      <c r="D139">
        <v>2019</v>
      </c>
    </row>
    <row r="140" spans="1:4" x14ac:dyDescent="0.2">
      <c r="A140">
        <v>139</v>
      </c>
      <c r="B140" t="s">
        <v>142</v>
      </c>
      <c r="C140">
        <v>11511</v>
      </c>
      <c r="D140">
        <v>2019</v>
      </c>
    </row>
    <row r="141" spans="1:4" x14ac:dyDescent="0.2">
      <c r="A141">
        <v>140</v>
      </c>
      <c r="B141" t="s">
        <v>143</v>
      </c>
      <c r="C141">
        <v>11375</v>
      </c>
      <c r="D141">
        <v>2019</v>
      </c>
    </row>
    <row r="142" spans="1:4" x14ac:dyDescent="0.2">
      <c r="A142">
        <v>141</v>
      </c>
      <c r="B142" t="s">
        <v>144</v>
      </c>
      <c r="C142">
        <v>11368</v>
      </c>
      <c r="D142">
        <v>2019</v>
      </c>
    </row>
    <row r="143" spans="1:4" x14ac:dyDescent="0.2">
      <c r="A143">
        <v>142</v>
      </c>
      <c r="B143" t="s">
        <v>145</v>
      </c>
      <c r="C143">
        <v>11200</v>
      </c>
      <c r="D143">
        <v>2016</v>
      </c>
    </row>
    <row r="144" spans="1:4" x14ac:dyDescent="0.2">
      <c r="A144">
        <v>143</v>
      </c>
      <c r="B144" t="s">
        <v>146</v>
      </c>
      <c r="C144">
        <v>10881</v>
      </c>
      <c r="D144">
        <v>2019</v>
      </c>
    </row>
    <row r="145" spans="1:4" x14ac:dyDescent="0.2">
      <c r="A145">
        <v>144</v>
      </c>
      <c r="B145" t="s">
        <v>147</v>
      </c>
      <c r="C145">
        <v>10756</v>
      </c>
      <c r="D145">
        <v>2019</v>
      </c>
    </row>
    <row r="146" spans="1:4" x14ac:dyDescent="0.2">
      <c r="A146">
        <v>145</v>
      </c>
      <c r="B146" t="s">
        <v>148</v>
      </c>
      <c r="C146">
        <v>10071</v>
      </c>
      <c r="D146">
        <v>2019</v>
      </c>
    </row>
    <row r="147" spans="1:4" x14ac:dyDescent="0.2">
      <c r="A147">
        <v>146</v>
      </c>
      <c r="B147" t="s">
        <v>149</v>
      </c>
      <c r="C147">
        <v>9762</v>
      </c>
      <c r="D147">
        <v>2019</v>
      </c>
    </row>
    <row r="148" spans="1:4" x14ac:dyDescent="0.2">
      <c r="A148">
        <v>147</v>
      </c>
      <c r="B148" t="s">
        <v>150</v>
      </c>
      <c r="C148">
        <v>9637</v>
      </c>
      <c r="D148">
        <v>2019</v>
      </c>
    </row>
    <row r="149" spans="1:4" x14ac:dyDescent="0.2">
      <c r="A149">
        <v>148</v>
      </c>
      <c r="B149" t="s">
        <v>151</v>
      </c>
      <c r="C149">
        <v>8908</v>
      </c>
      <c r="D149">
        <v>2019</v>
      </c>
    </row>
    <row r="150" spans="1:4" x14ac:dyDescent="0.2">
      <c r="A150">
        <v>149</v>
      </c>
      <c r="B150" t="s">
        <v>152</v>
      </c>
      <c r="C150">
        <v>8776</v>
      </c>
      <c r="D150">
        <v>2019</v>
      </c>
    </row>
    <row r="151" spans="1:4" x14ac:dyDescent="0.2">
      <c r="A151">
        <v>150</v>
      </c>
      <c r="B151" t="s">
        <v>153</v>
      </c>
      <c r="C151">
        <v>8724</v>
      </c>
      <c r="D151">
        <v>2019</v>
      </c>
    </row>
    <row r="152" spans="1:4" x14ac:dyDescent="0.2">
      <c r="A152">
        <v>151</v>
      </c>
      <c r="B152" t="s">
        <v>154</v>
      </c>
      <c r="C152">
        <v>8637</v>
      </c>
      <c r="D152">
        <v>2019</v>
      </c>
    </row>
    <row r="153" spans="1:4" x14ac:dyDescent="0.2">
      <c r="A153">
        <v>152</v>
      </c>
      <c r="B153" t="s">
        <v>155</v>
      </c>
      <c r="C153">
        <v>8622</v>
      </c>
      <c r="D153">
        <v>2019</v>
      </c>
    </row>
    <row r="154" spans="1:4" x14ac:dyDescent="0.2">
      <c r="A154">
        <v>153</v>
      </c>
      <c r="B154" t="s">
        <v>156</v>
      </c>
      <c r="C154">
        <v>8041</v>
      </c>
      <c r="D154">
        <v>2019</v>
      </c>
    </row>
    <row r="155" spans="1:4" x14ac:dyDescent="0.2">
      <c r="A155">
        <v>154</v>
      </c>
      <c r="B155" t="s">
        <v>157</v>
      </c>
      <c r="C155">
        <v>7826</v>
      </c>
      <c r="D155">
        <v>2019</v>
      </c>
    </row>
    <row r="156" spans="1:4" x14ac:dyDescent="0.2">
      <c r="A156">
        <v>155</v>
      </c>
      <c r="B156" t="s">
        <v>158</v>
      </c>
      <c r="C156">
        <v>7704</v>
      </c>
      <c r="D156">
        <v>2018</v>
      </c>
    </row>
    <row r="157" spans="1:4" x14ac:dyDescent="0.2">
      <c r="A157">
        <v>156</v>
      </c>
      <c r="B157" t="s">
        <v>159</v>
      </c>
      <c r="C157">
        <v>7515</v>
      </c>
      <c r="D157">
        <v>2019</v>
      </c>
    </row>
    <row r="158" spans="1:4" x14ac:dyDescent="0.2">
      <c r="A158">
        <v>157</v>
      </c>
      <c r="B158" t="s">
        <v>160</v>
      </c>
      <c r="C158">
        <v>7172</v>
      </c>
      <c r="D158">
        <v>2019</v>
      </c>
    </row>
    <row r="159" spans="1:4" x14ac:dyDescent="0.2">
      <c r="A159">
        <v>158</v>
      </c>
      <c r="B159" t="s">
        <v>161</v>
      </c>
      <c r="C159">
        <v>7005</v>
      </c>
      <c r="D159">
        <v>2019</v>
      </c>
    </row>
    <row r="160" spans="1:4" x14ac:dyDescent="0.2">
      <c r="A160">
        <v>159</v>
      </c>
      <c r="B160" t="s">
        <v>162</v>
      </c>
      <c r="C160">
        <v>6999</v>
      </c>
      <c r="D160">
        <v>2019</v>
      </c>
    </row>
    <row r="161" spans="1:4" x14ac:dyDescent="0.2">
      <c r="A161">
        <v>160</v>
      </c>
      <c r="B161" t="s">
        <v>163</v>
      </c>
      <c r="C161">
        <v>6700</v>
      </c>
      <c r="D161">
        <v>2019</v>
      </c>
    </row>
    <row r="162" spans="1:4" x14ac:dyDescent="0.2">
      <c r="A162">
        <v>161</v>
      </c>
      <c r="B162" t="s">
        <v>164</v>
      </c>
      <c r="C162">
        <v>6670</v>
      </c>
      <c r="D162">
        <v>2019</v>
      </c>
    </row>
    <row r="163" spans="1:4" x14ac:dyDescent="0.2">
      <c r="A163">
        <v>162</v>
      </c>
      <c r="B163" t="s">
        <v>165</v>
      </c>
      <c r="C163">
        <v>6521</v>
      </c>
      <c r="D163">
        <v>2019</v>
      </c>
    </row>
    <row r="164" spans="1:4" x14ac:dyDescent="0.2">
      <c r="A164">
        <v>163</v>
      </c>
      <c r="B164" t="s">
        <v>166</v>
      </c>
      <c r="C164">
        <v>6383</v>
      </c>
      <c r="D164">
        <v>2019</v>
      </c>
    </row>
    <row r="165" spans="1:4" x14ac:dyDescent="0.2">
      <c r="A165">
        <v>164</v>
      </c>
      <c r="B165" t="s">
        <v>167</v>
      </c>
      <c r="C165">
        <v>6220</v>
      </c>
      <c r="D165">
        <v>2019</v>
      </c>
    </row>
    <row r="166" spans="1:4" x14ac:dyDescent="0.2">
      <c r="A166">
        <v>165</v>
      </c>
      <c r="B166" t="s">
        <v>168</v>
      </c>
      <c r="C166">
        <v>6004</v>
      </c>
      <c r="D166">
        <v>2017</v>
      </c>
    </row>
    <row r="167" spans="1:4" x14ac:dyDescent="0.2">
      <c r="A167">
        <v>166</v>
      </c>
      <c r="B167" t="s">
        <v>169</v>
      </c>
      <c r="C167">
        <v>5800</v>
      </c>
      <c r="D167">
        <v>2003</v>
      </c>
    </row>
    <row r="168" spans="1:4" x14ac:dyDescent="0.2">
      <c r="A168">
        <v>167</v>
      </c>
      <c r="B168" t="s">
        <v>170</v>
      </c>
      <c r="C168">
        <v>5728</v>
      </c>
      <c r="D168">
        <v>2019</v>
      </c>
    </row>
    <row r="169" spans="1:4" x14ac:dyDescent="0.2">
      <c r="A169">
        <v>168</v>
      </c>
      <c r="B169" t="s">
        <v>171</v>
      </c>
      <c r="C169">
        <v>5535</v>
      </c>
      <c r="D169">
        <v>2019</v>
      </c>
    </row>
    <row r="170" spans="1:4" x14ac:dyDescent="0.2">
      <c r="A170">
        <v>169</v>
      </c>
      <c r="B170" t="s">
        <v>172</v>
      </c>
      <c r="C170">
        <v>5413</v>
      </c>
      <c r="D170">
        <v>2019</v>
      </c>
    </row>
    <row r="171" spans="1:4" x14ac:dyDescent="0.2">
      <c r="A171">
        <v>170</v>
      </c>
      <c r="B171" t="s">
        <v>173</v>
      </c>
      <c r="C171">
        <v>5407</v>
      </c>
      <c r="D171">
        <v>2019</v>
      </c>
    </row>
    <row r="172" spans="1:4" x14ac:dyDescent="0.2">
      <c r="A172">
        <v>171</v>
      </c>
      <c r="B172" t="s">
        <v>174</v>
      </c>
      <c r="C172">
        <v>5253</v>
      </c>
      <c r="D172">
        <v>2019</v>
      </c>
    </row>
    <row r="173" spans="1:4" x14ac:dyDescent="0.2">
      <c r="A173">
        <v>172</v>
      </c>
      <c r="B173" t="s">
        <v>175</v>
      </c>
      <c r="C173">
        <v>5213</v>
      </c>
      <c r="D173">
        <v>2019</v>
      </c>
    </row>
    <row r="174" spans="1:4" x14ac:dyDescent="0.2">
      <c r="A174">
        <v>173</v>
      </c>
      <c r="B174" t="s">
        <v>176</v>
      </c>
      <c r="C174">
        <v>5197</v>
      </c>
      <c r="D174">
        <v>2019</v>
      </c>
    </row>
    <row r="175" spans="1:4" x14ac:dyDescent="0.2">
      <c r="A175">
        <v>174</v>
      </c>
      <c r="B175" t="s">
        <v>177</v>
      </c>
      <c r="C175">
        <v>5142</v>
      </c>
      <c r="D175">
        <v>2019</v>
      </c>
    </row>
    <row r="176" spans="1:4" x14ac:dyDescent="0.2">
      <c r="A176">
        <v>175</v>
      </c>
      <c r="B176" t="s">
        <v>178</v>
      </c>
      <c r="C176">
        <v>5136</v>
      </c>
      <c r="D176">
        <v>2019</v>
      </c>
    </row>
    <row r="177" spans="1:4" x14ac:dyDescent="0.2">
      <c r="A177">
        <v>176</v>
      </c>
      <c r="B177" t="s">
        <v>179</v>
      </c>
      <c r="C177">
        <v>4754</v>
      </c>
      <c r="D177">
        <v>2019</v>
      </c>
    </row>
    <row r="178" spans="1:4" x14ac:dyDescent="0.2">
      <c r="A178">
        <v>177</v>
      </c>
      <c r="B178" t="s">
        <v>180</v>
      </c>
      <c r="C178">
        <v>4690</v>
      </c>
      <c r="D178">
        <v>2019</v>
      </c>
    </row>
    <row r="179" spans="1:4" x14ac:dyDescent="0.2">
      <c r="A179">
        <v>178</v>
      </c>
      <c r="B179" t="s">
        <v>181</v>
      </c>
      <c r="C179">
        <v>4389</v>
      </c>
      <c r="D179">
        <v>2019</v>
      </c>
    </row>
    <row r="180" spans="1:4" x14ac:dyDescent="0.2">
      <c r="A180">
        <v>179</v>
      </c>
      <c r="B180" t="s">
        <v>182</v>
      </c>
      <c r="C180">
        <v>4355</v>
      </c>
      <c r="D180">
        <v>2019</v>
      </c>
    </row>
    <row r="181" spans="1:4" x14ac:dyDescent="0.2">
      <c r="A181">
        <v>180</v>
      </c>
      <c r="B181" t="s">
        <v>183</v>
      </c>
      <c r="C181">
        <v>4330</v>
      </c>
      <c r="D181">
        <v>2019</v>
      </c>
    </row>
    <row r="182" spans="1:4" x14ac:dyDescent="0.2">
      <c r="A182">
        <v>181</v>
      </c>
      <c r="B182" t="s">
        <v>184</v>
      </c>
      <c r="C182">
        <v>4281</v>
      </c>
      <c r="D182">
        <v>2019</v>
      </c>
    </row>
    <row r="183" spans="1:4" x14ac:dyDescent="0.2">
      <c r="A183">
        <v>182</v>
      </c>
      <c r="B183" t="s">
        <v>185</v>
      </c>
      <c r="C183">
        <v>3970</v>
      </c>
      <c r="D183">
        <v>2019</v>
      </c>
    </row>
    <row r="184" spans="1:4" x14ac:dyDescent="0.2">
      <c r="A184">
        <v>183</v>
      </c>
      <c r="B184" t="s">
        <v>186</v>
      </c>
      <c r="C184">
        <v>3958</v>
      </c>
      <c r="D184">
        <v>2019</v>
      </c>
    </row>
    <row r="185" spans="1:4" x14ac:dyDescent="0.2">
      <c r="A185">
        <v>184</v>
      </c>
      <c r="B185" t="s">
        <v>187</v>
      </c>
      <c r="C185">
        <v>3889</v>
      </c>
      <c r="D185">
        <v>2018</v>
      </c>
    </row>
    <row r="186" spans="1:4" x14ac:dyDescent="0.2">
      <c r="A186">
        <v>185</v>
      </c>
      <c r="B186" t="s">
        <v>188</v>
      </c>
      <c r="C186">
        <v>3800</v>
      </c>
      <c r="D186">
        <v>2004</v>
      </c>
    </row>
    <row r="187" spans="1:4" x14ac:dyDescent="0.2">
      <c r="A187">
        <v>186</v>
      </c>
      <c r="B187" t="s">
        <v>189</v>
      </c>
      <c r="C187">
        <v>3673</v>
      </c>
      <c r="D187">
        <v>2019</v>
      </c>
    </row>
    <row r="188" spans="1:4" x14ac:dyDescent="0.2">
      <c r="A188">
        <v>187</v>
      </c>
      <c r="B188" t="s">
        <v>190</v>
      </c>
      <c r="C188">
        <v>3642</v>
      </c>
      <c r="D188">
        <v>2019</v>
      </c>
    </row>
    <row r="189" spans="1:4" x14ac:dyDescent="0.2">
      <c r="A189">
        <v>188</v>
      </c>
      <c r="B189" t="s">
        <v>191</v>
      </c>
      <c r="C189">
        <v>3553</v>
      </c>
      <c r="D189">
        <v>2019</v>
      </c>
    </row>
    <row r="190" spans="1:4" x14ac:dyDescent="0.2">
      <c r="A190">
        <v>189</v>
      </c>
      <c r="B190" t="s">
        <v>192</v>
      </c>
      <c r="C190">
        <v>3470</v>
      </c>
      <c r="D190">
        <v>2019</v>
      </c>
    </row>
    <row r="191" spans="1:4" x14ac:dyDescent="0.2">
      <c r="A191">
        <v>190</v>
      </c>
      <c r="B191" t="s">
        <v>193</v>
      </c>
      <c r="C191">
        <v>3464</v>
      </c>
      <c r="D191">
        <v>2018</v>
      </c>
    </row>
    <row r="192" spans="1:4" x14ac:dyDescent="0.2">
      <c r="A192">
        <v>191</v>
      </c>
      <c r="B192" t="s">
        <v>194</v>
      </c>
      <c r="C192">
        <v>3417</v>
      </c>
      <c r="D192">
        <v>2019</v>
      </c>
    </row>
    <row r="193" spans="1:4" x14ac:dyDescent="0.2">
      <c r="A193">
        <v>192</v>
      </c>
      <c r="B193" t="s">
        <v>195</v>
      </c>
      <c r="C193">
        <v>3395</v>
      </c>
      <c r="D193">
        <v>2019</v>
      </c>
    </row>
    <row r="194" spans="1:4" x14ac:dyDescent="0.2">
      <c r="A194">
        <v>193</v>
      </c>
      <c r="B194" t="s">
        <v>196</v>
      </c>
      <c r="C194">
        <v>3380</v>
      </c>
      <c r="D194">
        <v>2019</v>
      </c>
    </row>
    <row r="195" spans="1:4" x14ac:dyDescent="0.2">
      <c r="A195">
        <v>194</v>
      </c>
      <c r="B195" t="s">
        <v>197</v>
      </c>
      <c r="C195">
        <v>3287</v>
      </c>
      <c r="D195">
        <v>2019</v>
      </c>
    </row>
    <row r="196" spans="1:4" x14ac:dyDescent="0.2">
      <c r="A196">
        <v>195</v>
      </c>
      <c r="B196" t="s">
        <v>198</v>
      </c>
      <c r="C196">
        <v>3153</v>
      </c>
      <c r="D196">
        <v>2019</v>
      </c>
    </row>
    <row r="197" spans="1:4" x14ac:dyDescent="0.2">
      <c r="A197">
        <v>196</v>
      </c>
      <c r="B197" t="s">
        <v>199</v>
      </c>
      <c r="C197">
        <v>3060</v>
      </c>
      <c r="D197">
        <v>2019</v>
      </c>
    </row>
    <row r="198" spans="1:4" x14ac:dyDescent="0.2">
      <c r="A198">
        <v>197</v>
      </c>
      <c r="B198" t="s">
        <v>200</v>
      </c>
      <c r="C198">
        <v>2905</v>
      </c>
      <c r="D198">
        <v>2019</v>
      </c>
    </row>
    <row r="199" spans="1:4" x14ac:dyDescent="0.2">
      <c r="A199">
        <v>198</v>
      </c>
      <c r="B199" t="s">
        <v>201</v>
      </c>
      <c r="C199">
        <v>2900</v>
      </c>
      <c r="D199">
        <v>2015</v>
      </c>
    </row>
    <row r="200" spans="1:4" x14ac:dyDescent="0.2">
      <c r="A200">
        <v>199</v>
      </c>
      <c r="B200" t="s">
        <v>202</v>
      </c>
      <c r="C200">
        <v>2836</v>
      </c>
      <c r="D200">
        <v>2019</v>
      </c>
    </row>
    <row r="201" spans="1:4" x14ac:dyDescent="0.2">
      <c r="A201">
        <v>200</v>
      </c>
      <c r="B201" t="s">
        <v>203</v>
      </c>
      <c r="C201">
        <v>2704</v>
      </c>
      <c r="D201">
        <v>2019</v>
      </c>
    </row>
    <row r="202" spans="1:4" x14ac:dyDescent="0.2">
      <c r="A202">
        <v>201</v>
      </c>
      <c r="B202" t="s">
        <v>204</v>
      </c>
      <c r="C202">
        <v>2663</v>
      </c>
      <c r="D202">
        <v>2019</v>
      </c>
    </row>
    <row r="203" spans="1:4" x14ac:dyDescent="0.2">
      <c r="A203">
        <v>202</v>
      </c>
      <c r="B203" t="s">
        <v>205</v>
      </c>
      <c r="C203">
        <v>2660</v>
      </c>
      <c r="D203">
        <v>2019</v>
      </c>
    </row>
    <row r="204" spans="1:4" x14ac:dyDescent="0.2">
      <c r="A204">
        <v>203</v>
      </c>
      <c r="B204" t="s">
        <v>206</v>
      </c>
      <c r="C204">
        <v>2562</v>
      </c>
      <c r="D204">
        <v>2019</v>
      </c>
    </row>
    <row r="205" spans="1:4" x14ac:dyDescent="0.2">
      <c r="A205">
        <v>204</v>
      </c>
      <c r="B205" t="s">
        <v>207</v>
      </c>
      <c r="C205">
        <v>2500</v>
      </c>
      <c r="D205">
        <v>2017</v>
      </c>
    </row>
    <row r="206" spans="1:4" x14ac:dyDescent="0.2">
      <c r="A206">
        <v>205</v>
      </c>
      <c r="B206" t="s">
        <v>208</v>
      </c>
      <c r="C206">
        <v>2322</v>
      </c>
      <c r="D206">
        <v>2019</v>
      </c>
    </row>
    <row r="207" spans="1:4" x14ac:dyDescent="0.2">
      <c r="A207">
        <v>206</v>
      </c>
      <c r="B207" t="s">
        <v>209</v>
      </c>
      <c r="C207">
        <v>2272</v>
      </c>
      <c r="D207">
        <v>2019</v>
      </c>
    </row>
    <row r="208" spans="1:4" x14ac:dyDescent="0.2">
      <c r="A208">
        <v>207</v>
      </c>
      <c r="B208" t="s">
        <v>210</v>
      </c>
      <c r="C208">
        <v>2227</v>
      </c>
      <c r="D208">
        <v>2019</v>
      </c>
    </row>
    <row r="209" spans="1:4" x14ac:dyDescent="0.2">
      <c r="A209">
        <v>208</v>
      </c>
      <c r="B209" t="s">
        <v>211</v>
      </c>
      <c r="C209">
        <v>2223</v>
      </c>
      <c r="D209">
        <v>2019</v>
      </c>
    </row>
    <row r="210" spans="1:4" x14ac:dyDescent="0.2">
      <c r="A210">
        <v>209</v>
      </c>
      <c r="B210" t="s">
        <v>212</v>
      </c>
      <c r="C210">
        <v>2221</v>
      </c>
      <c r="D210">
        <v>2019</v>
      </c>
    </row>
    <row r="211" spans="1:4" x14ac:dyDescent="0.2">
      <c r="A211">
        <v>210</v>
      </c>
      <c r="B211" t="s">
        <v>213</v>
      </c>
      <c r="C211">
        <v>2187</v>
      </c>
      <c r="D211">
        <v>2019</v>
      </c>
    </row>
    <row r="212" spans="1:4" x14ac:dyDescent="0.2">
      <c r="A212">
        <v>211</v>
      </c>
      <c r="B212" t="s">
        <v>214</v>
      </c>
      <c r="C212">
        <v>2178</v>
      </c>
      <c r="D212">
        <v>2019</v>
      </c>
    </row>
    <row r="213" spans="1:4" x14ac:dyDescent="0.2">
      <c r="A213">
        <v>212</v>
      </c>
      <c r="B213" t="s">
        <v>215</v>
      </c>
      <c r="C213">
        <v>2065</v>
      </c>
      <c r="D213">
        <v>2019</v>
      </c>
    </row>
    <row r="214" spans="1:4" x14ac:dyDescent="0.2">
      <c r="A214">
        <v>213</v>
      </c>
      <c r="B214" t="s">
        <v>216</v>
      </c>
      <c r="C214">
        <v>1989</v>
      </c>
      <c r="D214">
        <v>2019</v>
      </c>
    </row>
    <row r="215" spans="1:4" x14ac:dyDescent="0.2">
      <c r="A215">
        <v>214</v>
      </c>
      <c r="B215" t="s">
        <v>217</v>
      </c>
      <c r="C215">
        <v>1718</v>
      </c>
      <c r="D215">
        <v>2019</v>
      </c>
    </row>
    <row r="216" spans="1:4" x14ac:dyDescent="0.2">
      <c r="A216">
        <v>215</v>
      </c>
      <c r="B216" t="s">
        <v>218</v>
      </c>
      <c r="C216">
        <v>1700</v>
      </c>
      <c r="D216">
        <v>2015</v>
      </c>
    </row>
    <row r="217" spans="1:4" x14ac:dyDescent="0.2">
      <c r="A217">
        <v>216</v>
      </c>
      <c r="B217" t="s">
        <v>219</v>
      </c>
      <c r="C217">
        <v>1647</v>
      </c>
      <c r="D217">
        <v>2019</v>
      </c>
    </row>
    <row r="218" spans="1:4" x14ac:dyDescent="0.2">
      <c r="A218">
        <v>217</v>
      </c>
      <c r="B218" t="s">
        <v>220</v>
      </c>
      <c r="C218">
        <v>1600</v>
      </c>
      <c r="D218">
        <v>2019</v>
      </c>
    </row>
    <row r="219" spans="1:4" x14ac:dyDescent="0.2">
      <c r="A219">
        <v>218</v>
      </c>
      <c r="B219" t="s">
        <v>221</v>
      </c>
      <c r="C219">
        <v>1600</v>
      </c>
      <c r="D219">
        <v>2017</v>
      </c>
    </row>
    <row r="220" spans="1:4" x14ac:dyDescent="0.2">
      <c r="A220">
        <v>219</v>
      </c>
      <c r="B220" t="s">
        <v>222</v>
      </c>
      <c r="C220">
        <v>1597</v>
      </c>
      <c r="D220">
        <v>2019</v>
      </c>
    </row>
    <row r="221" spans="1:4" x14ac:dyDescent="0.2">
      <c r="A221">
        <v>220</v>
      </c>
      <c r="B221" t="s">
        <v>223</v>
      </c>
      <c r="C221">
        <v>1580</v>
      </c>
      <c r="D221">
        <v>2019</v>
      </c>
    </row>
    <row r="222" spans="1:4" x14ac:dyDescent="0.2">
      <c r="A222">
        <v>221</v>
      </c>
      <c r="B222" t="s">
        <v>224</v>
      </c>
      <c r="C222">
        <v>1428</v>
      </c>
      <c r="D222">
        <v>2019</v>
      </c>
    </row>
    <row r="223" spans="1:4" x14ac:dyDescent="0.2">
      <c r="A223">
        <v>222</v>
      </c>
      <c r="B223" t="s">
        <v>225</v>
      </c>
      <c r="C223">
        <v>1281</v>
      </c>
      <c r="D223">
        <v>2019</v>
      </c>
    </row>
    <row r="224" spans="1:4" x14ac:dyDescent="0.2">
      <c r="A224">
        <v>223</v>
      </c>
      <c r="B224" t="s">
        <v>226</v>
      </c>
      <c r="C224">
        <v>1225</v>
      </c>
      <c r="D224">
        <v>2019</v>
      </c>
    </row>
    <row r="225" spans="1:4" x14ac:dyDescent="0.2">
      <c r="A225">
        <v>224</v>
      </c>
      <c r="B225" t="s">
        <v>227</v>
      </c>
      <c r="C225">
        <v>1098</v>
      </c>
      <c r="D225">
        <v>2019</v>
      </c>
    </row>
    <row r="226" spans="1:4" x14ac:dyDescent="0.2">
      <c r="A226">
        <v>225</v>
      </c>
      <c r="B226" t="s">
        <v>228</v>
      </c>
      <c r="C226">
        <v>1060</v>
      </c>
      <c r="D226">
        <v>2019</v>
      </c>
    </row>
    <row r="227" spans="1:4" x14ac:dyDescent="0.2">
      <c r="A227">
        <v>226</v>
      </c>
      <c r="B227" t="s">
        <v>229</v>
      </c>
      <c r="C227">
        <v>945</v>
      </c>
      <c r="D227">
        <v>2019</v>
      </c>
    </row>
    <row r="228" spans="1:4" x14ac:dyDescent="0.2">
      <c r="A228">
        <v>227</v>
      </c>
      <c r="B228" t="s">
        <v>230</v>
      </c>
      <c r="C228">
        <v>875.2</v>
      </c>
      <c r="D228">
        <v>2020</v>
      </c>
    </row>
    <row r="229" spans="1:4" x14ac:dyDescent="0.2">
      <c r="A229">
        <v>228</v>
      </c>
      <c r="B229" t="s">
        <v>231</v>
      </c>
      <c r="C229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BBE6-53DB-40E9-AC59-60338D49CCC3}">
  <sheetPr codeName="Sheet2"/>
  <dimension ref="A1:E228"/>
  <sheetViews>
    <sheetView zoomScaleNormal="100" zoomScaleSheetLayoutView="100" workbookViewId="0">
      <selection activeCell="E10" sqref="E10"/>
    </sheetView>
  </sheetViews>
  <sheetFormatPr defaultRowHeight="14.25" x14ac:dyDescent="0.2"/>
  <cols>
    <col min="2" max="2" width="29.77734375" customWidth="1"/>
    <col min="3" max="3" width="24" customWidth="1"/>
    <col min="4" max="4" width="21.10937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431</v>
      </c>
    </row>
    <row r="2" spans="1:5" x14ac:dyDescent="0.2">
      <c r="A2">
        <v>1</v>
      </c>
      <c r="B2" t="s">
        <v>4</v>
      </c>
      <c r="C2">
        <v>190513</v>
      </c>
      <c r="D2">
        <v>2019</v>
      </c>
      <c r="E2" cm="1">
        <f t="array" aca="1" ref="E2" ca="1">SUMPRODUCT(SUBTOTAL(3,OFFSET($C$2:$C$228,ROW($C$2:$K$228)-MIN(ROW($C$2:$C$228)),0,1)),--(C2&lt;$C$2:$C$228))+1</f>
        <v>1</v>
      </c>
    </row>
    <row r="3" spans="1:5" x14ac:dyDescent="0.2">
      <c r="A3">
        <v>2</v>
      </c>
      <c r="B3" t="s">
        <v>5</v>
      </c>
      <c r="C3">
        <v>180367</v>
      </c>
      <c r="D3">
        <v>2018</v>
      </c>
      <c r="E3" cm="1">
        <f t="array" aca="1" ref="E3" ca="1">_xlfn._xlws.SORT(_xlfn._xlws.FILTER(C3:C229,B3:B229=E3))</f>
        <v>0</v>
      </c>
    </row>
    <row r="4" spans="1:5" x14ac:dyDescent="0.2">
      <c r="A4">
        <v>3</v>
      </c>
      <c r="B4" t="s">
        <v>6</v>
      </c>
      <c r="C4">
        <v>123965</v>
      </c>
      <c r="D4">
        <v>2019</v>
      </c>
      <c r="E4" cm="1">
        <f t="array" aca="1" ref="E4" ca="1">SUMPRODUCT(SUBTOTAL(3,OFFSET($C$2:$C$228,ROW($C$2:$K$228)-MIN(ROW($C$2:$C$228)),0,1)),--(C4&lt;$C$2:$C$228))+1</f>
        <v>3</v>
      </c>
    </row>
    <row r="5" spans="1:5" x14ac:dyDescent="0.2">
      <c r="A5">
        <v>4</v>
      </c>
      <c r="B5" t="s">
        <v>7</v>
      </c>
      <c r="C5">
        <v>115874</v>
      </c>
      <c r="D5">
        <v>2020</v>
      </c>
      <c r="E5" cm="1">
        <f t="array" aca="1" ref="E5" ca="1">_xlfn._xlws.SORT(_xlfn._xlws.FILTER(C5:C231,B5:B231=E5))</f>
        <v>0</v>
      </c>
    </row>
    <row r="6" spans="1:5" x14ac:dyDescent="0.2">
      <c r="A6">
        <v>5</v>
      </c>
      <c r="B6" t="s">
        <v>8</v>
      </c>
      <c r="C6">
        <v>97341</v>
      </c>
      <c r="D6">
        <v>2019</v>
      </c>
      <c r="E6" cm="1">
        <f t="array" aca="1" ref="E6" ca="1">SUMPRODUCT(SUBTOTAL(3,OFFSET($C$2:$C$228,ROW($C$2:$K$228)-MIN(ROW($C$2:$C$228)),0,1)),--(C6&lt;$C$2:$C$228))+1</f>
        <v>5</v>
      </c>
    </row>
    <row r="7" spans="1:5" x14ac:dyDescent="0.2">
      <c r="A7">
        <v>6</v>
      </c>
      <c r="B7" t="s">
        <v>9</v>
      </c>
      <c r="C7">
        <v>90044</v>
      </c>
      <c r="D7">
        <v>2019</v>
      </c>
      <c r="E7" cm="1">
        <f t="array" aca="1" ref="E7" ca="1">SUMPRODUCT(SUBTOTAL(3,OFFSET($C$2:$C$228,ROW($C$2:$K$228)-MIN(ROW($C$2:$C$228)),0,1)),--(C7&lt;$C$2:$C$228))+1</f>
        <v>6</v>
      </c>
    </row>
    <row r="8" spans="1:5" x14ac:dyDescent="0.2">
      <c r="A8">
        <v>7</v>
      </c>
      <c r="B8" t="s">
        <v>10</v>
      </c>
      <c r="C8">
        <v>86781</v>
      </c>
      <c r="D8">
        <v>2019</v>
      </c>
      <c r="E8" cm="1">
        <f t="array" aca="1" ref="E8" ca="1">SUMPRODUCT(SUBTOTAL(3,OFFSET($C$2:$C$228,ROW($C$2:$K$228)-MIN(ROW($C$2:$C$228)),0,1)),--(C8&lt;$C$2:$C$228))+1</f>
        <v>7</v>
      </c>
    </row>
    <row r="9" spans="1:5" x14ac:dyDescent="0.2">
      <c r="A9">
        <v>8</v>
      </c>
      <c r="B9" t="s">
        <v>11</v>
      </c>
      <c r="C9">
        <v>84600</v>
      </c>
      <c r="D9">
        <v>2014</v>
      </c>
      <c r="E9" cm="1">
        <f t="array" aca="1" ref="E9" ca="1">_xlfn._xlws.SORT(_xlfn._xlws.FILTER(C9:C235,B9:B235=E9))</f>
        <v>0</v>
      </c>
    </row>
    <row r="10" spans="1:5" x14ac:dyDescent="0.2">
      <c r="A10">
        <v>9</v>
      </c>
      <c r="B10" t="s">
        <v>12</v>
      </c>
      <c r="C10">
        <v>81798</v>
      </c>
      <c r="D10">
        <v>2019</v>
      </c>
      <c r="E10" cm="1">
        <f t="array" aca="1" ref="E10" ca="1">SUMPRODUCT(SUBTOTAL(3,OFFSET($C$2:$C$228,ROW($C$2:$K$228)-MIN(ROW($C$2:$C$228)),0,1)),--(C10&lt;$C$2:$C$228))+1</f>
        <v>9</v>
      </c>
    </row>
    <row r="11" spans="1:5" x14ac:dyDescent="0.2">
      <c r="A11">
        <v>10</v>
      </c>
      <c r="B11" t="s">
        <v>13</v>
      </c>
      <c r="C11">
        <v>71549</v>
      </c>
      <c r="D11">
        <v>2018</v>
      </c>
      <c r="E11" cm="1">
        <f t="array" aca="1" ref="E11" ca="1">_xlfn._xlws.SORT(_xlfn._xlws.FILTER(C11:C237,B11:B237=E11))</f>
        <v>0</v>
      </c>
    </row>
    <row r="12" spans="1:5" x14ac:dyDescent="0.2">
      <c r="A12">
        <v>11</v>
      </c>
      <c r="B12" t="s">
        <v>14</v>
      </c>
      <c r="C12">
        <v>70800</v>
      </c>
      <c r="D12">
        <v>2015</v>
      </c>
      <c r="E12" cm="1">
        <f t="array" aca="1" ref="E12" ca="1">_xlfn._xlws.SORT(_xlfn._xlws.FILTER(C12:C238,B12:B238=E12))</f>
        <v>0</v>
      </c>
    </row>
    <row r="13" spans="1:5" x14ac:dyDescent="0.2">
      <c r="A13">
        <v>12</v>
      </c>
      <c r="B13" t="s">
        <v>15</v>
      </c>
      <c r="C13">
        <v>68628</v>
      </c>
      <c r="D13">
        <v>2019</v>
      </c>
      <c r="E13" cm="1">
        <f t="array" aca="1" ref="E13" ca="1">SUMPRODUCT(SUBTOTAL(3,OFFSET($C$2:$C$228,ROW($C$2:$K$228)-MIN(ROW($C$2:$C$228)),0,1)),--(C13&lt;$C$2:$C$228))+1</f>
        <v>12</v>
      </c>
    </row>
    <row r="14" spans="1:5" x14ac:dyDescent="0.2">
      <c r="A14">
        <v>13</v>
      </c>
      <c r="B14" t="s">
        <v>16</v>
      </c>
      <c r="C14">
        <v>67119</v>
      </c>
      <c r="D14">
        <v>2019</v>
      </c>
      <c r="E14" cm="1">
        <f t="array" aca="1" ref="E14" ca="1">SUMPRODUCT(SUBTOTAL(3,OFFSET($C$2:$C$228,ROW($C$2:$K$228)-MIN(ROW($C$2:$C$228)),0,1)),--(C14&lt;$C$2:$C$228))+1</f>
        <v>13</v>
      </c>
    </row>
    <row r="15" spans="1:5" x14ac:dyDescent="0.2">
      <c r="A15">
        <v>14</v>
      </c>
      <c r="B15" t="s">
        <v>17</v>
      </c>
      <c r="C15">
        <v>63633</v>
      </c>
      <c r="D15">
        <v>2019</v>
      </c>
      <c r="E15" cm="1">
        <f t="array" aca="1" ref="E15" ca="1">SUMPRODUCT(SUBTOTAL(3,OFFSET($C$2:$C$228,ROW($C$2:$K$228)-MIN(ROW($C$2:$C$228)),0,1)),--(C15&lt;$C$2:$C$228))+1</f>
        <v>14</v>
      </c>
    </row>
    <row r="16" spans="1:5" x14ac:dyDescent="0.2">
      <c r="A16">
        <v>15</v>
      </c>
      <c r="B16" t="s">
        <v>18</v>
      </c>
      <c r="C16">
        <v>62530</v>
      </c>
      <c r="D16">
        <v>2019</v>
      </c>
      <c r="E16" cm="1">
        <f t="array" aca="1" ref="E16" ca="1">SUMPRODUCT(SUBTOTAL(3,OFFSET($C$2:$C$228,ROW($C$2:$K$228)-MIN(ROW($C$2:$C$228)),0,1)),--(C16&lt;$C$2:$C$228))+1</f>
        <v>15</v>
      </c>
    </row>
    <row r="17" spans="1:5" x14ac:dyDescent="0.2">
      <c r="A17">
        <v>16</v>
      </c>
      <c r="B17" t="s">
        <v>19</v>
      </c>
      <c r="C17">
        <v>62100</v>
      </c>
      <c r="D17">
        <v>2019</v>
      </c>
      <c r="E17" cm="1">
        <f t="array" aca="1" ref="E17" ca="1">SUMPRODUCT(SUBTOTAL(3,OFFSET($C$2:$C$228,ROW($C$2:$K$228)-MIN(ROW($C$2:$C$228)),0,1)),--(C17&lt;$C$2:$C$228))+1</f>
        <v>16</v>
      </c>
    </row>
    <row r="18" spans="1:5" x14ac:dyDescent="0.2">
      <c r="A18">
        <v>17</v>
      </c>
      <c r="B18" t="s">
        <v>20</v>
      </c>
      <c r="C18">
        <v>61700</v>
      </c>
      <c r="D18">
        <v>2014</v>
      </c>
      <c r="E18" cm="1">
        <f t="array" aca="1" ref="E18" ca="1">_xlfn._xlws.SORT(_xlfn._xlws.FILTER(C18:C244,B18:B244=E18))</f>
        <v>0</v>
      </c>
    </row>
    <row r="19" spans="1:5" x14ac:dyDescent="0.2">
      <c r="A19">
        <v>18</v>
      </c>
      <c r="B19" t="s">
        <v>21</v>
      </c>
      <c r="C19">
        <v>59848</v>
      </c>
      <c r="D19">
        <v>2019</v>
      </c>
      <c r="E19" cm="1">
        <f t="array" aca="1" ref="E19" ca="1">SUMPRODUCT(SUBTOTAL(3,OFFSET($C$2:$C$228,ROW($C$2:$K$228)-MIN(ROW($C$2:$C$228)),0,1)),--(C19&lt;$C$2:$C$228))+1</f>
        <v>18</v>
      </c>
    </row>
    <row r="20" spans="1:5" x14ac:dyDescent="0.2">
      <c r="A20">
        <v>19</v>
      </c>
      <c r="B20" t="s">
        <v>22</v>
      </c>
      <c r="C20">
        <v>59439</v>
      </c>
      <c r="D20">
        <v>2018</v>
      </c>
      <c r="E20" cm="1">
        <f t="array" aca="1" ref="E20" ca="1">_xlfn._xlws.SORT(_xlfn._xlws.FILTER(C20:C246,B20:B246=E20))</f>
        <v>0</v>
      </c>
    </row>
    <row r="21" spans="1:5" x14ac:dyDescent="0.2">
      <c r="A21">
        <v>20</v>
      </c>
      <c r="B21" t="s">
        <v>23</v>
      </c>
      <c r="C21">
        <v>57804</v>
      </c>
      <c r="D21">
        <v>2019</v>
      </c>
      <c r="E21" cm="1">
        <f t="array" aca="1" ref="E21" ca="1">SUMPRODUCT(SUBTOTAL(3,OFFSET($C$2:$C$228,ROW($C$2:$K$228)-MIN(ROW($C$2:$C$228)),0,1)),--(C21&lt;$C$2:$C$228))+1</f>
        <v>20</v>
      </c>
    </row>
    <row r="22" spans="1:5" x14ac:dyDescent="0.2">
      <c r="A22">
        <v>21</v>
      </c>
      <c r="B22" t="s">
        <v>24</v>
      </c>
      <c r="C22">
        <v>56935</v>
      </c>
      <c r="D22">
        <v>2019</v>
      </c>
      <c r="E22" cm="1">
        <f t="array" aca="1" ref="E22" ca="1">SUMPRODUCT(SUBTOTAL(3,OFFSET($C$2:$C$228,ROW($C$2:$K$228)-MIN(ROW($C$2:$C$228)),0,1)),--(C22&lt;$C$2:$C$228))+1</f>
        <v>21</v>
      </c>
    </row>
    <row r="23" spans="1:5" x14ac:dyDescent="0.2">
      <c r="A23">
        <v>22</v>
      </c>
      <c r="B23" t="s">
        <v>25</v>
      </c>
      <c r="C23">
        <v>56600</v>
      </c>
      <c r="D23">
        <v>2016</v>
      </c>
      <c r="E23" cm="1">
        <f t="array" aca="1" ref="E23" ca="1">_xlfn._xlws.SORT(_xlfn._xlws.FILTER(C23:C249,B23:B249=E23))</f>
        <v>0</v>
      </c>
    </row>
    <row r="24" spans="1:5" x14ac:dyDescent="0.2">
      <c r="A24">
        <v>23</v>
      </c>
      <c r="B24" t="s">
        <v>26</v>
      </c>
      <c r="C24">
        <v>56188</v>
      </c>
      <c r="D24">
        <v>2019</v>
      </c>
      <c r="E24" cm="1">
        <f t="array" aca="1" ref="E24" ca="1">SUMPRODUCT(SUBTOTAL(3,OFFSET($C$2:$C$228,ROW($C$2:$K$228)-MIN(ROW($C$2:$C$228)),0,1)),--(C24&lt;$C$2:$C$228))+1</f>
        <v>23</v>
      </c>
    </row>
    <row r="25" spans="1:5" x14ac:dyDescent="0.2">
      <c r="A25">
        <v>24</v>
      </c>
      <c r="B25" t="s">
        <v>27</v>
      </c>
      <c r="C25">
        <v>55874</v>
      </c>
      <c r="D25">
        <v>2019</v>
      </c>
      <c r="E25" cm="1">
        <f t="array" aca="1" ref="E25" ca="1">SUMPRODUCT(SUBTOTAL(3,OFFSET($C$2:$C$228,ROW($C$2:$K$228)-MIN(ROW($C$2:$C$228)),0,1)),--(C25&lt;$C$2:$C$228))+1</f>
        <v>24</v>
      </c>
    </row>
    <row r="26" spans="1:5" x14ac:dyDescent="0.2">
      <c r="A26">
        <v>25</v>
      </c>
      <c r="B26" t="s">
        <v>28</v>
      </c>
      <c r="C26">
        <v>53919</v>
      </c>
      <c r="D26">
        <v>2019</v>
      </c>
      <c r="E26" cm="1">
        <f t="array" aca="1" ref="E26" ca="1">SUMPRODUCT(SUBTOTAL(3,OFFSET($C$2:$C$228,ROW($C$2:$K$228)-MIN(ROW($C$2:$C$228)),0,1)),--(C26&lt;$C$2:$C$228))+1</f>
        <v>25</v>
      </c>
    </row>
    <row r="27" spans="1:5" x14ac:dyDescent="0.2">
      <c r="A27">
        <v>26</v>
      </c>
      <c r="B27" t="s">
        <v>29</v>
      </c>
      <c r="C27">
        <v>53240</v>
      </c>
      <c r="D27">
        <v>2019</v>
      </c>
      <c r="E27" cm="1">
        <f t="array" aca="1" ref="E27" ca="1">SUMPRODUCT(SUBTOTAL(3,OFFSET($C$2:$C$228,ROW($C$2:$K$228)-MIN(ROW($C$2:$C$228)),0,1)),--(C27&lt;$C$2:$C$228))+1</f>
        <v>26</v>
      </c>
    </row>
    <row r="28" spans="1:5" x14ac:dyDescent="0.2">
      <c r="A28">
        <v>27</v>
      </c>
      <c r="B28" t="s">
        <v>30</v>
      </c>
      <c r="C28">
        <v>52500</v>
      </c>
      <c r="D28">
        <v>2014</v>
      </c>
      <c r="E28" cm="1">
        <f t="array" aca="1" ref="E28" ca="1">_xlfn._xlws.SORT(_xlfn._xlws.FILTER(C28:C254,B28:B254=E28))</f>
        <v>0</v>
      </c>
    </row>
    <row r="29" spans="1:5" x14ac:dyDescent="0.2">
      <c r="A29">
        <v>28</v>
      </c>
      <c r="B29" t="s">
        <v>31</v>
      </c>
      <c r="C29">
        <v>51934</v>
      </c>
      <c r="D29">
        <v>2019</v>
      </c>
      <c r="E29" cm="1">
        <f t="array" aca="1" ref="E29" ca="1">SUMPRODUCT(SUBTOTAL(3,OFFSET($C$2:$C$228,ROW($C$2:$K$228)-MIN(ROW($C$2:$C$228)),0,1)),--(C29&lt;$C$2:$C$228))+1</f>
        <v>28</v>
      </c>
    </row>
    <row r="30" spans="1:5" x14ac:dyDescent="0.2">
      <c r="A30">
        <v>29</v>
      </c>
      <c r="B30" t="s">
        <v>32</v>
      </c>
      <c r="C30">
        <v>50500</v>
      </c>
      <c r="D30">
        <v>2017</v>
      </c>
      <c r="E30" cm="1">
        <f t="array" aca="1" ref="E30" ca="1">_xlfn._xlws.SORT(_xlfn._xlws.FILTER(C30:C256,B30:B256=E30))</f>
        <v>0</v>
      </c>
    </row>
    <row r="31" spans="1:5" x14ac:dyDescent="0.2">
      <c r="A31">
        <v>30</v>
      </c>
      <c r="B31" t="s">
        <v>33</v>
      </c>
      <c r="C31">
        <v>49900</v>
      </c>
      <c r="D31">
        <v>2015</v>
      </c>
      <c r="E31" cm="1">
        <f t="array" aca="1" ref="E31" ca="1">_xlfn._xlws.SORT(_xlfn._xlws.FILTER(C31:C257,B31:B257=E31))</f>
        <v>0</v>
      </c>
    </row>
    <row r="32" spans="1:5" x14ac:dyDescent="0.2">
      <c r="A32">
        <v>31</v>
      </c>
      <c r="B32" t="s">
        <v>34</v>
      </c>
      <c r="C32">
        <v>49854</v>
      </c>
      <c r="D32">
        <v>2019</v>
      </c>
      <c r="E32" cm="1">
        <f t="array" aca="1" ref="E32" ca="1">SUMPRODUCT(SUBTOTAL(3,OFFSET($C$2:$C$228,ROW($C$2:$K$228)-MIN(ROW($C$2:$C$228)),0,1)),--(C32&lt;$C$2:$C$228))+1</f>
        <v>31</v>
      </c>
    </row>
    <row r="33" spans="1:5" x14ac:dyDescent="0.2">
      <c r="A33">
        <v>32</v>
      </c>
      <c r="B33" t="s">
        <v>35</v>
      </c>
      <c r="C33">
        <v>49854</v>
      </c>
      <c r="D33">
        <v>2019</v>
      </c>
      <c r="E33" cm="1">
        <f t="array" aca="1" ref="E33" ca="1">SUMPRODUCT(SUBTOTAL(3,OFFSET($C$2:$C$228,ROW($C$2:$K$228)-MIN(ROW($C$2:$C$228)),0,1)),--(C33&lt;$C$2:$C$228))+1</f>
        <v>31</v>
      </c>
    </row>
    <row r="34" spans="1:5" x14ac:dyDescent="0.2">
      <c r="A34">
        <v>33</v>
      </c>
      <c r="B34" t="s">
        <v>36</v>
      </c>
      <c r="C34">
        <v>49031</v>
      </c>
      <c r="D34">
        <v>2019</v>
      </c>
      <c r="E34" cm="1">
        <f t="array" aca="1" ref="E34" ca="1">SUMPRODUCT(SUBTOTAL(3,OFFSET($C$2:$C$228,ROW($C$2:$K$228)-MIN(ROW($C$2:$C$228)),0,1)),--(C34&lt;$C$2:$C$228))+1</f>
        <v>33</v>
      </c>
    </row>
    <row r="35" spans="1:5" x14ac:dyDescent="0.2">
      <c r="A35">
        <v>34</v>
      </c>
      <c r="B35" t="s">
        <v>37</v>
      </c>
      <c r="C35">
        <v>48668</v>
      </c>
      <c r="D35">
        <v>2019</v>
      </c>
      <c r="E35" cm="1">
        <f t="array" aca="1" ref="E35" ca="1">SUMPRODUCT(SUBTOTAL(3,OFFSET($C$2:$C$228,ROW($C$2:$K$228)-MIN(ROW($C$2:$C$228)),0,1)),--(C35&lt;$C$2:$C$228))+1</f>
        <v>34</v>
      </c>
    </row>
    <row r="36" spans="1:5" x14ac:dyDescent="0.2">
      <c r="A36">
        <v>35</v>
      </c>
      <c r="B36" t="s">
        <v>38</v>
      </c>
      <c r="C36">
        <v>46962</v>
      </c>
      <c r="D36">
        <v>2019</v>
      </c>
      <c r="E36" cm="1">
        <f t="array" aca="1" ref="E36" ca="1">SUMPRODUCT(SUBTOTAL(3,OFFSET($C$2:$C$228,ROW($C$2:$K$228)-MIN(ROW($C$2:$C$228)),0,1)),--(C36&lt;$C$2:$C$228))+1</f>
        <v>35</v>
      </c>
    </row>
    <row r="37" spans="1:5" x14ac:dyDescent="0.2">
      <c r="A37">
        <v>36</v>
      </c>
      <c r="B37" t="s">
        <v>39</v>
      </c>
      <c r="C37">
        <v>46659</v>
      </c>
      <c r="D37">
        <v>2019</v>
      </c>
      <c r="E37" cm="1">
        <f t="array" aca="1" ref="E37" ca="1">SUMPRODUCT(SUBTOTAL(3,OFFSET($C$2:$C$228,ROW($C$2:$K$228)-MIN(ROW($C$2:$C$228)),0,1)),--(C37&lt;$C$2:$C$228))+1</f>
        <v>36</v>
      </c>
    </row>
    <row r="38" spans="1:5" x14ac:dyDescent="0.2">
      <c r="A38">
        <v>37</v>
      </c>
      <c r="B38" t="s">
        <v>40</v>
      </c>
      <c r="C38">
        <v>46200</v>
      </c>
      <c r="D38">
        <v>2006</v>
      </c>
      <c r="E38" cm="1">
        <f t="array" aca="1" ref="E38" ca="1">_xlfn._xlws.SORT(_xlfn._xlws.FILTER(C38:C264,B38:B264=E38))</f>
        <v>0</v>
      </c>
    </row>
    <row r="39" spans="1:5" x14ac:dyDescent="0.2">
      <c r="A39">
        <v>38</v>
      </c>
      <c r="B39" t="s">
        <v>41</v>
      </c>
      <c r="C39">
        <v>46184</v>
      </c>
      <c r="D39">
        <v>2019</v>
      </c>
      <c r="E39" cm="1">
        <f t="array" aca="1" ref="E39" ca="1">SUMPRODUCT(SUBTOTAL(3,OFFSET($C$2:$C$228,ROW($C$2:$K$228)-MIN(ROW($C$2:$C$228)),0,1)),--(C39&lt;$C$2:$C$228))+1</f>
        <v>38</v>
      </c>
    </row>
    <row r="40" spans="1:5" x14ac:dyDescent="0.2">
      <c r="A40">
        <v>39</v>
      </c>
      <c r="B40" t="s">
        <v>42</v>
      </c>
      <c r="C40">
        <v>45011</v>
      </c>
      <c r="D40">
        <v>2019</v>
      </c>
      <c r="E40" cm="1">
        <f t="array" aca="1" ref="E40" ca="1">SUMPRODUCT(SUBTOTAL(3,OFFSET($C$2:$C$228,ROW($C$2:$K$228)-MIN(ROW($C$2:$C$228)),0,1)),--(C40&lt;$C$2:$C$228))+1</f>
        <v>39</v>
      </c>
    </row>
    <row r="41" spans="1:5" x14ac:dyDescent="0.2">
      <c r="A41">
        <v>41</v>
      </c>
      <c r="B41" t="s">
        <v>44</v>
      </c>
      <c r="C41">
        <v>44032</v>
      </c>
      <c r="D41">
        <v>2019</v>
      </c>
      <c r="E41" cm="1">
        <f t="array" aca="1" ref="E41" ca="1">SUMPRODUCT(SUBTOTAL(3,OFFSET($C$2:$C$228,ROW($C$2:$K$228)-MIN(ROW($C$2:$C$228)),0,1)),--(C41&lt;$C$2:$C$228))+1</f>
        <v>40</v>
      </c>
    </row>
    <row r="42" spans="1:5" x14ac:dyDescent="0.2">
      <c r="A42">
        <v>42</v>
      </c>
      <c r="B42" t="s">
        <v>45</v>
      </c>
      <c r="C42">
        <v>42888</v>
      </c>
      <c r="D42">
        <v>2019</v>
      </c>
      <c r="E42" cm="1">
        <f t="array" aca="1" ref="E42" ca="1">SUMPRODUCT(SUBTOTAL(3,OFFSET($C$2:$C$228,ROW($C$2:$K$228)-MIN(ROW($C$2:$C$228)),0,1)),--(C42&lt;$C$2:$C$228))+1</f>
        <v>41</v>
      </c>
    </row>
    <row r="43" spans="1:5" x14ac:dyDescent="0.2">
      <c r="A43">
        <v>43</v>
      </c>
      <c r="B43" t="s">
        <v>46</v>
      </c>
      <c r="C43">
        <v>42765</v>
      </c>
      <c r="D43">
        <v>2019</v>
      </c>
      <c r="E43" cm="1">
        <f t="array" aca="1" ref="E43" ca="1">SUMPRODUCT(SUBTOTAL(3,OFFSET($C$2:$C$228,ROW($C$2:$K$228)-MIN(ROW($C$2:$C$228)),0,1)),--(C43&lt;$C$2:$C$228))+1</f>
        <v>42</v>
      </c>
    </row>
    <row r="44" spans="1:5" x14ac:dyDescent="0.2">
      <c r="A44">
        <v>44</v>
      </c>
      <c r="B44" t="s">
        <v>47</v>
      </c>
      <c r="C44">
        <v>42492</v>
      </c>
      <c r="D44">
        <v>2019</v>
      </c>
      <c r="E44" cm="1">
        <f t="array" aca="1" ref="E44" ca="1">SUMPRODUCT(SUBTOTAL(3,OFFSET($C$2:$C$228,ROW($C$2:$K$228)-MIN(ROW($C$2:$C$228)),0,1)),--(C44&lt;$C$2:$C$228))+1</f>
        <v>43</v>
      </c>
    </row>
    <row r="45" spans="1:5" x14ac:dyDescent="0.2">
      <c r="A45">
        <v>45</v>
      </c>
      <c r="B45" t="s">
        <v>48</v>
      </c>
      <c r="C45">
        <v>41800</v>
      </c>
      <c r="D45">
        <v>2015</v>
      </c>
      <c r="E45" cm="1">
        <f t="array" aca="1" ref="E45" ca="1">_xlfn._xlws.SORT(_xlfn._xlws.FILTER(C45:C272,B45:B272=E45))</f>
        <v>0</v>
      </c>
    </row>
    <row r="46" spans="1:5" x14ac:dyDescent="0.2">
      <c r="A46">
        <v>46</v>
      </c>
      <c r="B46" t="s">
        <v>49</v>
      </c>
      <c r="C46">
        <v>41429</v>
      </c>
      <c r="D46">
        <v>2019</v>
      </c>
      <c r="E46" cm="1">
        <f t="array" aca="1" ref="E46" ca="1">SUMPRODUCT(SUBTOTAL(3,OFFSET($C$2:$C$228,ROW($C$2:$K$228)-MIN(ROW($C$2:$C$228)),0,1)),--(C46&lt;$C$2:$C$228))+1</f>
        <v>45</v>
      </c>
    </row>
    <row r="47" spans="1:5" x14ac:dyDescent="0.2">
      <c r="A47">
        <v>47</v>
      </c>
      <c r="B47" t="s">
        <v>50</v>
      </c>
      <c r="C47">
        <v>40903</v>
      </c>
      <c r="D47">
        <v>2019</v>
      </c>
      <c r="E47" cm="1">
        <f t="array" aca="1" ref="E47" ca="1">SUMPRODUCT(SUBTOTAL(3,OFFSET($C$2:$C$228,ROW($C$2:$K$228)-MIN(ROW($C$2:$C$228)),0,1)),--(C47&lt;$C$2:$C$228))+1</f>
        <v>46</v>
      </c>
    </row>
    <row r="48" spans="1:5" x14ac:dyDescent="0.2">
      <c r="A48">
        <v>48</v>
      </c>
      <c r="B48" t="s">
        <v>51</v>
      </c>
      <c r="C48">
        <v>40862</v>
      </c>
      <c r="D48">
        <v>2019</v>
      </c>
      <c r="E48" cm="1">
        <f t="array" aca="1" ref="E48" ca="1">SUMPRODUCT(SUBTOTAL(3,OFFSET($C$2:$C$228,ROW($C$2:$K$228)-MIN(ROW($C$2:$C$228)),0,1)),--(C48&lt;$C$2:$C$228))+1</f>
        <v>47</v>
      </c>
    </row>
    <row r="49" spans="1:5" x14ac:dyDescent="0.2">
      <c r="A49">
        <v>49</v>
      </c>
      <c r="B49" t="s">
        <v>52</v>
      </c>
      <c r="C49">
        <v>40145</v>
      </c>
      <c r="D49">
        <v>2019</v>
      </c>
      <c r="E49" cm="1">
        <f t="array" aca="1" ref="E49" ca="1">SUMPRODUCT(SUBTOTAL(3,OFFSET($C$2:$C$228,ROW($C$2:$K$228)-MIN(ROW($C$2:$C$228)),0,1)),--(C49&lt;$C$2:$C$228))+1</f>
        <v>48</v>
      </c>
    </row>
    <row r="50" spans="1:5" x14ac:dyDescent="0.2">
      <c r="A50">
        <v>50</v>
      </c>
      <c r="B50" t="s">
        <v>53</v>
      </c>
      <c r="C50">
        <v>40000</v>
      </c>
      <c r="D50">
        <v>2014</v>
      </c>
      <c r="E50" cm="1">
        <f t="array" aca="1" ref="E50" ca="1">_xlfn._xlws.SORT(_xlfn._xlws.FILTER(C50:C277,B50:B277=E50))</f>
        <v>0</v>
      </c>
    </row>
    <row r="51" spans="1:5" x14ac:dyDescent="0.2">
      <c r="A51">
        <v>51</v>
      </c>
      <c r="B51" t="s">
        <v>54</v>
      </c>
      <c r="C51">
        <v>39545</v>
      </c>
      <c r="D51">
        <v>2019</v>
      </c>
      <c r="E51" cm="1">
        <f t="array" aca="1" ref="E51" ca="1">SUMPRODUCT(SUBTOTAL(3,OFFSET($C$2:$C$228,ROW($C$2:$K$228)-MIN(ROW($C$2:$C$228)),0,1)),--(C51&lt;$C$2:$C$228))+1</f>
        <v>50</v>
      </c>
    </row>
    <row r="52" spans="1:5" x14ac:dyDescent="0.2">
      <c r="A52">
        <v>52</v>
      </c>
      <c r="B52" t="s">
        <v>55</v>
      </c>
      <c r="C52">
        <v>39088</v>
      </c>
      <c r="D52">
        <v>2019</v>
      </c>
      <c r="E52" cm="1">
        <f t="array" aca="1" ref="E52" ca="1">SUMPRODUCT(SUBTOTAL(3,OFFSET($C$2:$C$228,ROW($C$2:$K$228)-MIN(ROW($C$2:$C$228)),0,1)),--(C52&lt;$C$2:$C$228))+1</f>
        <v>51</v>
      </c>
    </row>
    <row r="53" spans="1:5" x14ac:dyDescent="0.2">
      <c r="A53">
        <v>53</v>
      </c>
      <c r="B53" t="s">
        <v>56</v>
      </c>
      <c r="C53">
        <v>37500</v>
      </c>
      <c r="D53">
        <v>2017</v>
      </c>
      <c r="E53" cm="1">
        <f t="array" aca="1" ref="E53" ca="1">_xlfn._xlws.SORT(_xlfn._xlws.FILTER(C53:C280,B53:B280=E53))</f>
        <v>0</v>
      </c>
    </row>
    <row r="54" spans="1:5" x14ac:dyDescent="0.2">
      <c r="A54">
        <v>54</v>
      </c>
      <c r="B54" t="s">
        <v>57</v>
      </c>
      <c r="C54">
        <v>37231</v>
      </c>
      <c r="D54">
        <v>2019</v>
      </c>
      <c r="E54" cm="1">
        <f t="array" aca="1" ref="E54" ca="1">SUMPRODUCT(SUBTOTAL(3,OFFSET($C$2:$C$228,ROW($C$2:$K$228)-MIN(ROW($C$2:$C$228)),0,1)),--(C54&lt;$C$2:$C$228))+1</f>
        <v>53</v>
      </c>
    </row>
    <row r="55" spans="1:5" x14ac:dyDescent="0.2">
      <c r="A55">
        <v>55</v>
      </c>
      <c r="B55" t="s">
        <v>58</v>
      </c>
      <c r="C55">
        <v>37101</v>
      </c>
      <c r="D55">
        <v>2019</v>
      </c>
      <c r="E55" cm="1">
        <f t="array" aca="1" ref="E55" ca="1">SUMPRODUCT(SUBTOTAL(3,OFFSET($C$2:$C$228,ROW($C$2:$K$228)-MIN(ROW($C$2:$C$228)),0,1)),--(C55&lt;$C$2:$C$228))+1</f>
        <v>54</v>
      </c>
    </row>
    <row r="56" spans="1:5" x14ac:dyDescent="0.2">
      <c r="A56">
        <v>56</v>
      </c>
      <c r="B56" t="s">
        <v>59</v>
      </c>
      <c r="C56">
        <v>37000</v>
      </c>
      <c r="D56">
        <v>2016</v>
      </c>
      <c r="E56" cm="1">
        <f t="array" aca="1" ref="E56" ca="1">_xlfn._xlws.SORT(_xlfn._xlws.FILTER(C56:C283,B56:B283=E56))</f>
        <v>0</v>
      </c>
    </row>
    <row r="57" spans="1:5" x14ac:dyDescent="0.2">
      <c r="A57">
        <v>57</v>
      </c>
      <c r="B57" t="s">
        <v>60</v>
      </c>
      <c r="C57">
        <v>36927</v>
      </c>
      <c r="D57">
        <v>2019</v>
      </c>
      <c r="E57" cm="1">
        <f t="array" aca="1" ref="E57" ca="1">SUMPRODUCT(SUBTOTAL(3,OFFSET($C$2:$C$228,ROW($C$2:$K$228)-MIN(ROW($C$2:$C$228)),0,1)),--(C57&lt;$C$2:$C$228))+1</f>
        <v>56</v>
      </c>
    </row>
    <row r="58" spans="1:5" x14ac:dyDescent="0.2">
      <c r="A58">
        <v>58</v>
      </c>
      <c r="B58" t="s">
        <v>61</v>
      </c>
      <c r="C58">
        <v>35600</v>
      </c>
      <c r="D58">
        <v>2016</v>
      </c>
      <c r="E58" cm="1">
        <f t="array" aca="1" ref="E58" ca="1">_xlfn._xlws.SORT(_xlfn._xlws.FILTER(C58:C285,B58:B285=E58))</f>
        <v>0</v>
      </c>
    </row>
    <row r="59" spans="1:5" x14ac:dyDescent="0.2">
      <c r="A59">
        <v>59</v>
      </c>
      <c r="B59" t="s">
        <v>62</v>
      </c>
      <c r="C59">
        <v>35342</v>
      </c>
      <c r="D59">
        <v>2018</v>
      </c>
      <c r="E59" cm="1">
        <f t="array" aca="1" ref="E59" ca="1">_xlfn._xlws.SORT(_xlfn._xlws.FILTER(C59:C286,B59:B286=E59))</f>
        <v>0</v>
      </c>
    </row>
    <row r="60" spans="1:5" x14ac:dyDescent="0.2">
      <c r="A60">
        <v>60</v>
      </c>
      <c r="B60" t="s">
        <v>63</v>
      </c>
      <c r="C60">
        <v>34894</v>
      </c>
      <c r="D60">
        <v>2019</v>
      </c>
      <c r="E60" cm="1">
        <f t="array" aca="1" ref="E60" ca="1">SUMPRODUCT(SUBTOTAL(3,OFFSET($C$2:$C$228,ROW($C$2:$K$228)-MIN(ROW($C$2:$C$228)),0,1)),--(C60&lt;$C$2:$C$228))+1</f>
        <v>59</v>
      </c>
    </row>
    <row r="61" spans="1:5" x14ac:dyDescent="0.2">
      <c r="A61">
        <v>61</v>
      </c>
      <c r="B61" t="s">
        <v>64</v>
      </c>
      <c r="C61">
        <v>34518</v>
      </c>
      <c r="D61">
        <v>2019</v>
      </c>
      <c r="E61" cm="1">
        <f t="array" aca="1" ref="E61" ca="1">SUMPRODUCT(SUBTOTAL(3,OFFSET($C$2:$C$228,ROW($C$2:$K$228)-MIN(ROW($C$2:$C$228)),0,1)),--(C61&lt;$C$2:$C$228))+1</f>
        <v>60</v>
      </c>
    </row>
    <row r="62" spans="1:5" x14ac:dyDescent="0.2">
      <c r="A62">
        <v>62</v>
      </c>
      <c r="B62" t="s">
        <v>65</v>
      </c>
      <c r="C62">
        <v>34200</v>
      </c>
      <c r="D62">
        <v>2017</v>
      </c>
      <c r="E62" cm="1">
        <f t="array" aca="1" ref="E62" ca="1">_xlfn._xlws.SORT(_xlfn._xlws.FILTER(C62:C289,B62:B289=E62))</f>
        <v>0</v>
      </c>
    </row>
    <row r="63" spans="1:5" x14ac:dyDescent="0.2">
      <c r="A63">
        <v>63</v>
      </c>
      <c r="B63" t="s">
        <v>66</v>
      </c>
      <c r="C63">
        <v>33221</v>
      </c>
      <c r="D63">
        <v>2019</v>
      </c>
      <c r="E63" cm="1">
        <f t="array" aca="1" ref="E63" ca="1">SUMPRODUCT(SUBTOTAL(3,OFFSET($C$2:$C$228,ROW($C$2:$K$228)-MIN(ROW($C$2:$C$228)),0,1)),--(C63&lt;$C$2:$C$228))+1</f>
        <v>62</v>
      </c>
    </row>
    <row r="64" spans="1:5" x14ac:dyDescent="0.2">
      <c r="A64">
        <v>64</v>
      </c>
      <c r="B64" t="s">
        <v>67</v>
      </c>
      <c r="C64">
        <v>32945</v>
      </c>
      <c r="D64">
        <v>2019</v>
      </c>
      <c r="E64" cm="1">
        <f t="array" aca="1" ref="E64" ca="1">SUMPRODUCT(SUBTOTAL(3,OFFSET($C$2:$C$228,ROW($C$2:$K$228)-MIN(ROW($C$2:$C$228)),0,1)),--(C64&lt;$C$2:$C$228))+1</f>
        <v>63</v>
      </c>
    </row>
    <row r="65" spans="1:5" x14ac:dyDescent="0.2">
      <c r="A65">
        <v>65</v>
      </c>
      <c r="B65" t="s">
        <v>68</v>
      </c>
      <c r="C65">
        <v>32730</v>
      </c>
      <c r="D65">
        <v>2019</v>
      </c>
      <c r="E65" cm="1">
        <f t="array" aca="1" ref="E65" ca="1">SUMPRODUCT(SUBTOTAL(3,OFFSET($C$2:$C$228,ROW($C$2:$K$228)-MIN(ROW($C$2:$C$228)),0,1)),--(C65&lt;$C$2:$C$228))+1</f>
        <v>64</v>
      </c>
    </row>
    <row r="66" spans="1:5" x14ac:dyDescent="0.2">
      <c r="A66">
        <v>66</v>
      </c>
      <c r="B66" t="s">
        <v>69</v>
      </c>
      <c r="C66">
        <v>31459</v>
      </c>
      <c r="D66">
        <v>2019</v>
      </c>
      <c r="E66" cm="1">
        <f t="array" aca="1" ref="E66" ca="1">SUMPRODUCT(SUBTOTAL(3,OFFSET($C$2:$C$228,ROW($C$2:$K$228)-MIN(ROW($C$2:$C$228)),0,1)),--(C66&lt;$C$2:$C$228))+1</f>
        <v>65</v>
      </c>
    </row>
    <row r="67" spans="1:5" x14ac:dyDescent="0.2">
      <c r="A67">
        <v>67</v>
      </c>
      <c r="B67" t="s">
        <v>70</v>
      </c>
      <c r="C67">
        <v>31100</v>
      </c>
      <c r="D67">
        <v>2015</v>
      </c>
      <c r="E67" cm="1">
        <f t="array" aca="1" ref="E67" ca="1">_xlfn._xlws.SORT(_xlfn._xlws.FILTER(C67:C294,B67:B294=E67))</f>
        <v>0</v>
      </c>
    </row>
    <row r="68" spans="1:5" x14ac:dyDescent="0.2">
      <c r="A68">
        <v>68</v>
      </c>
      <c r="B68" t="s">
        <v>71</v>
      </c>
      <c r="C68">
        <v>30898</v>
      </c>
      <c r="D68">
        <v>2019</v>
      </c>
      <c r="E68" cm="1">
        <f t="array" aca="1" ref="E68" ca="1">SUMPRODUCT(SUBTOTAL(3,OFFSET($C$2:$C$228,ROW($C$2:$K$228)-MIN(ROW($C$2:$C$228)),0,1)),--(C68&lt;$C$2:$C$228))+1</f>
        <v>67</v>
      </c>
    </row>
    <row r="69" spans="1:5" x14ac:dyDescent="0.2">
      <c r="A69">
        <v>69</v>
      </c>
      <c r="B69" t="s">
        <v>72</v>
      </c>
      <c r="C69">
        <v>29941</v>
      </c>
      <c r="D69">
        <v>2019</v>
      </c>
      <c r="E69" cm="1">
        <f t="array" aca="1" ref="E69" ca="1">SUMPRODUCT(SUBTOTAL(3,OFFSET($C$2:$C$228,ROW($C$2:$K$228)-MIN(ROW($C$2:$C$228)),0,1)),--(C69&lt;$C$2:$C$228))+1</f>
        <v>68</v>
      </c>
    </row>
    <row r="70" spans="1:5" x14ac:dyDescent="0.2">
      <c r="A70">
        <v>70</v>
      </c>
      <c r="B70" t="s">
        <v>73</v>
      </c>
      <c r="C70">
        <v>29799</v>
      </c>
      <c r="D70">
        <v>2019</v>
      </c>
      <c r="E70" cm="1">
        <f t="array" aca="1" ref="E70" ca="1">SUMPRODUCT(SUBTOTAL(3,OFFSET($C$2:$C$228,ROW($C$2:$K$228)-MIN(ROW($C$2:$C$228)),0,1)),--(C70&lt;$C$2:$C$228))+1</f>
        <v>69</v>
      </c>
    </row>
    <row r="71" spans="1:5" x14ac:dyDescent="0.2">
      <c r="A71">
        <v>71</v>
      </c>
      <c r="B71" t="s">
        <v>74</v>
      </c>
      <c r="C71">
        <v>29253</v>
      </c>
      <c r="D71">
        <v>2019</v>
      </c>
      <c r="E71" cm="1">
        <f t="array" aca="1" ref="E71" ca="1">SUMPRODUCT(SUBTOTAL(3,OFFSET($C$2:$C$228,ROW($C$2:$K$228)-MIN(ROW($C$2:$C$228)),0,1)),--(C71&lt;$C$2:$C$228))+1</f>
        <v>70</v>
      </c>
    </row>
    <row r="72" spans="1:5" x14ac:dyDescent="0.2">
      <c r="A72">
        <v>72</v>
      </c>
      <c r="B72" t="s">
        <v>75</v>
      </c>
      <c r="C72">
        <v>29223</v>
      </c>
      <c r="D72">
        <v>2019</v>
      </c>
      <c r="E72" cm="1">
        <f t="array" aca="1" ref="E72" ca="1">SUMPRODUCT(SUBTOTAL(3,OFFSET($C$2:$C$228,ROW($C$2:$K$228)-MIN(ROW($C$2:$C$228)),0,1)),--(C72&lt;$C$2:$C$228))+1</f>
        <v>71</v>
      </c>
    </row>
    <row r="73" spans="1:5" x14ac:dyDescent="0.2">
      <c r="A73">
        <v>73</v>
      </c>
      <c r="B73" t="s">
        <v>76</v>
      </c>
      <c r="C73">
        <v>28602</v>
      </c>
      <c r="D73">
        <v>2019</v>
      </c>
      <c r="E73" cm="1">
        <f t="array" aca="1" ref="E73" ca="1">SUMPRODUCT(SUBTOTAL(3,OFFSET($C$2:$C$228,ROW($C$2:$K$228)-MIN(ROW($C$2:$C$228)),0,1)),--(C73&lt;$C$2:$C$228))+1</f>
        <v>72</v>
      </c>
    </row>
    <row r="74" spans="1:5" x14ac:dyDescent="0.2">
      <c r="A74">
        <v>74</v>
      </c>
      <c r="B74" t="s">
        <v>77</v>
      </c>
      <c r="C74">
        <v>28424</v>
      </c>
      <c r="D74">
        <v>2019</v>
      </c>
      <c r="E74" cm="1">
        <f t="array" aca="1" ref="E74" ca="1">SUMPRODUCT(SUBTOTAL(3,OFFSET($C$2:$C$228,ROW($C$2:$K$228)-MIN(ROW($C$2:$C$228)),0,1)),--(C74&lt;$C$2:$C$228))+1</f>
        <v>73</v>
      </c>
    </row>
    <row r="75" spans="1:5" x14ac:dyDescent="0.2">
      <c r="A75">
        <v>75</v>
      </c>
      <c r="B75" t="s">
        <v>78</v>
      </c>
      <c r="C75">
        <v>28364</v>
      </c>
      <c r="D75">
        <v>2019</v>
      </c>
      <c r="E75" cm="1">
        <f t="array" aca="1" ref="E75" ca="1">SUMPRODUCT(SUBTOTAL(3,OFFSET($C$2:$C$228,ROW($C$2:$K$228)-MIN(ROW($C$2:$C$228)),0,1)),--(C75&lt;$C$2:$C$228))+1</f>
        <v>74</v>
      </c>
    </row>
    <row r="76" spans="1:5" x14ac:dyDescent="0.2">
      <c r="A76">
        <v>76</v>
      </c>
      <c r="B76" t="s">
        <v>79</v>
      </c>
      <c r="C76">
        <v>27299</v>
      </c>
      <c r="D76">
        <v>2019</v>
      </c>
      <c r="E76" cm="1">
        <f t="array" aca="1" ref="E76" ca="1">SUMPRODUCT(SUBTOTAL(3,OFFSET($C$2:$C$228,ROW($C$2:$K$228)-MIN(ROW($C$2:$C$228)),0,1)),--(C76&lt;$C$2:$C$228))+1</f>
        <v>75</v>
      </c>
    </row>
    <row r="77" spans="1:5" x14ac:dyDescent="0.2">
      <c r="A77">
        <v>77</v>
      </c>
      <c r="B77" t="s">
        <v>80</v>
      </c>
      <c r="C77">
        <v>27044</v>
      </c>
      <c r="D77">
        <v>2019</v>
      </c>
      <c r="E77" cm="1">
        <f t="array" aca="1" ref="E77" ca="1">SUMPRODUCT(SUBTOTAL(3,OFFSET($C$2:$C$228,ROW($C$2:$K$228)-MIN(ROW($C$2:$C$228)),0,1)),--(C77&lt;$C$2:$C$228))+1</f>
        <v>76</v>
      </c>
    </row>
    <row r="78" spans="1:5" x14ac:dyDescent="0.2">
      <c r="A78">
        <v>78</v>
      </c>
      <c r="B78" t="s">
        <v>81</v>
      </c>
      <c r="C78">
        <v>26438</v>
      </c>
      <c r="D78">
        <v>2019</v>
      </c>
      <c r="E78" cm="1">
        <f t="array" aca="1" ref="E78" ca="1">SUMPRODUCT(SUBTOTAL(3,OFFSET($C$2:$C$228,ROW($C$2:$K$228)-MIN(ROW($C$2:$C$228)),0,1)),--(C78&lt;$C$2:$C$228))+1</f>
        <v>77</v>
      </c>
    </row>
    <row r="79" spans="1:5" x14ac:dyDescent="0.2">
      <c r="A79">
        <v>79</v>
      </c>
      <c r="B79" t="s">
        <v>82</v>
      </c>
      <c r="C79">
        <v>26351</v>
      </c>
      <c r="D79">
        <v>2019</v>
      </c>
      <c r="E79" cm="1">
        <f t="array" aca="1" ref="E79" ca="1">SUMPRODUCT(SUBTOTAL(3,OFFSET($C$2:$C$228,ROW($C$2:$K$228)-MIN(ROW($C$2:$C$228)),0,1)),--(C79&lt;$C$2:$C$228))+1</f>
        <v>78</v>
      </c>
    </row>
    <row r="80" spans="1:5" x14ac:dyDescent="0.2">
      <c r="A80">
        <v>80</v>
      </c>
      <c r="B80" t="s">
        <v>83</v>
      </c>
      <c r="C80">
        <v>26176</v>
      </c>
      <c r="D80">
        <v>2019</v>
      </c>
      <c r="E80" cm="1">
        <f t="array" aca="1" ref="E80" ca="1">SUMPRODUCT(SUBTOTAL(3,OFFSET($C$2:$C$228,ROW($C$2:$K$228)-MIN(ROW($C$2:$C$228)),0,1)),--(C80&lt;$C$2:$C$228))+1</f>
        <v>79</v>
      </c>
    </row>
    <row r="81" spans="1:5" x14ac:dyDescent="0.2">
      <c r="A81">
        <v>81</v>
      </c>
      <c r="B81" t="s">
        <v>84</v>
      </c>
      <c r="C81">
        <v>24500</v>
      </c>
      <c r="D81">
        <v>2016</v>
      </c>
      <c r="E81" cm="1">
        <f t="array" aca="1" ref="E81" ca="1">_xlfn._xlws.SORT(_xlfn._xlws.FILTER(C81:C308,B81:B308=E81))</f>
        <v>0</v>
      </c>
    </row>
    <row r="82" spans="1:5" x14ac:dyDescent="0.2">
      <c r="A82">
        <v>82</v>
      </c>
      <c r="B82" t="s">
        <v>85</v>
      </c>
      <c r="C82">
        <v>24479</v>
      </c>
      <c r="D82">
        <v>2019</v>
      </c>
      <c r="E82" cm="1">
        <f t="array" aca="1" ref="E82" ca="1">SUMPRODUCT(SUBTOTAL(3,OFFSET($C$2:$C$228,ROW($C$2:$K$228)-MIN(ROW($C$2:$C$228)),0,1)),--(C82&lt;$C$2:$C$228))+1</f>
        <v>81</v>
      </c>
    </row>
    <row r="83" spans="1:5" x14ac:dyDescent="0.2">
      <c r="A83">
        <v>83</v>
      </c>
      <c r="B83" t="s">
        <v>86</v>
      </c>
      <c r="C83">
        <v>24226</v>
      </c>
      <c r="D83">
        <v>2019</v>
      </c>
      <c r="E83" cm="1">
        <f t="array" aca="1" ref="E83" ca="1">SUMPRODUCT(SUBTOTAL(3,OFFSET($C$2:$C$228,ROW($C$2:$K$228)-MIN(ROW($C$2:$C$228)),0,1)),--(C83&lt;$C$2:$C$228))+1</f>
        <v>82</v>
      </c>
    </row>
    <row r="84" spans="1:5" x14ac:dyDescent="0.2">
      <c r="A84">
        <v>84</v>
      </c>
      <c r="B84" t="s">
        <v>87</v>
      </c>
      <c r="C84">
        <v>23174</v>
      </c>
      <c r="D84">
        <v>2019</v>
      </c>
      <c r="E84" cm="1">
        <f t="array" aca="1" ref="E84" ca="1">SUMPRODUCT(SUBTOTAL(3,OFFSET($C$2:$C$228,ROW($C$2:$K$228)-MIN(ROW($C$2:$C$228)),0,1)),--(C84&lt;$C$2:$C$228))+1</f>
        <v>83</v>
      </c>
    </row>
    <row r="85" spans="1:5" x14ac:dyDescent="0.2">
      <c r="A85">
        <v>85</v>
      </c>
      <c r="B85" t="s">
        <v>88</v>
      </c>
      <c r="C85">
        <v>22870</v>
      </c>
      <c r="D85">
        <v>2019</v>
      </c>
      <c r="E85" cm="1">
        <f t="array" aca="1" ref="E85" ca="1">SUMPRODUCT(SUBTOTAL(3,OFFSET($C$2:$C$228,ROW($C$2:$K$228)-MIN(ROW($C$2:$C$228)),0,1)),--(C85&lt;$C$2:$C$228))+1</f>
        <v>84</v>
      </c>
    </row>
    <row r="86" spans="1:5" x14ac:dyDescent="0.2">
      <c r="A86">
        <v>86</v>
      </c>
      <c r="B86" t="s">
        <v>89</v>
      </c>
      <c r="C86">
        <v>22064</v>
      </c>
      <c r="D86">
        <v>2019</v>
      </c>
      <c r="E86" cm="1">
        <f t="array" aca="1" ref="E86" ca="1">SUMPRODUCT(SUBTOTAL(3,OFFSET($C$2:$C$228,ROW($C$2:$K$228)-MIN(ROW($C$2:$C$228)),0,1)),--(C86&lt;$C$2:$C$228))+1</f>
        <v>85</v>
      </c>
    </row>
    <row r="87" spans="1:5" x14ac:dyDescent="0.2">
      <c r="A87">
        <v>87</v>
      </c>
      <c r="B87" t="s">
        <v>90</v>
      </c>
      <c r="C87">
        <v>21910</v>
      </c>
      <c r="D87">
        <v>2019</v>
      </c>
      <c r="E87" cm="1">
        <f t="array" aca="1" ref="E87" ca="1">SUMPRODUCT(SUBTOTAL(3,OFFSET($C$2:$C$228,ROW($C$2:$K$228)-MIN(ROW($C$2:$C$228)),0,1)),--(C87&lt;$C$2:$C$228))+1</f>
        <v>86</v>
      </c>
    </row>
    <row r="88" spans="1:5" x14ac:dyDescent="0.2">
      <c r="A88">
        <v>88</v>
      </c>
      <c r="B88" t="s">
        <v>91</v>
      </c>
      <c r="C88">
        <v>21561</v>
      </c>
      <c r="D88">
        <v>2019</v>
      </c>
      <c r="E88" cm="1">
        <f t="array" aca="1" ref="E88" ca="1">SUMPRODUCT(SUBTOTAL(3,OFFSET($C$2:$C$228,ROW($C$2:$K$228)-MIN(ROW($C$2:$C$228)),0,1)),--(C88&lt;$C$2:$C$228))+1</f>
        <v>87</v>
      </c>
    </row>
    <row r="89" spans="1:5" x14ac:dyDescent="0.2">
      <c r="A89">
        <v>89</v>
      </c>
      <c r="B89" t="s">
        <v>92</v>
      </c>
      <c r="C89">
        <v>21470</v>
      </c>
      <c r="D89">
        <v>2019</v>
      </c>
      <c r="E89" cm="1">
        <f t="array" aca="1" ref="E89" ca="1">SUMPRODUCT(SUBTOTAL(3,OFFSET($C$2:$C$228,ROW($C$2:$K$228)-MIN(ROW($C$2:$C$228)),0,1)),--(C89&lt;$C$2:$C$228))+1</f>
        <v>88</v>
      </c>
    </row>
    <row r="90" spans="1:5" x14ac:dyDescent="0.2">
      <c r="A90">
        <v>90</v>
      </c>
      <c r="B90" t="s">
        <v>93</v>
      </c>
      <c r="C90">
        <v>19796</v>
      </c>
      <c r="D90">
        <v>2019</v>
      </c>
      <c r="E90" cm="1">
        <f t="array" aca="1" ref="E90" ca="1">SUMPRODUCT(SUBTOTAL(3,OFFSET($C$2:$C$228,ROW($C$2:$K$228)-MIN(ROW($C$2:$C$228)),0,1)),--(C90&lt;$C$2:$C$228))+1</f>
        <v>89</v>
      </c>
    </row>
    <row r="91" spans="1:5" x14ac:dyDescent="0.2">
      <c r="A91">
        <v>91</v>
      </c>
      <c r="B91" t="s">
        <v>94</v>
      </c>
      <c r="C91">
        <v>19642</v>
      </c>
      <c r="D91">
        <v>2019</v>
      </c>
      <c r="E91" cm="1">
        <f t="array" aca="1" ref="E91" ca="1">SUMPRODUCT(SUBTOTAL(3,OFFSET($C$2:$C$228,ROW($C$2:$K$228)-MIN(ROW($C$2:$C$228)),0,1)),--(C91&lt;$C$2:$C$228))+1</f>
        <v>90</v>
      </c>
    </row>
    <row r="92" spans="1:5" x14ac:dyDescent="0.2">
      <c r="A92">
        <v>92</v>
      </c>
      <c r="B92" t="s">
        <v>95</v>
      </c>
      <c r="C92">
        <v>19531</v>
      </c>
      <c r="D92">
        <v>2019</v>
      </c>
      <c r="E92" cm="1">
        <f t="array" aca="1" ref="E92" ca="1">SUMPRODUCT(SUBTOTAL(3,OFFSET($C$2:$C$228,ROW($C$2:$K$228)-MIN(ROW($C$2:$C$228)),0,1)),--(C92&lt;$C$2:$C$228))+1</f>
        <v>91</v>
      </c>
    </row>
    <row r="93" spans="1:5" x14ac:dyDescent="0.2">
      <c r="A93">
        <v>93</v>
      </c>
      <c r="B93" t="s">
        <v>96</v>
      </c>
      <c r="C93">
        <v>19300</v>
      </c>
      <c r="D93">
        <v>2005</v>
      </c>
      <c r="E93" cm="1">
        <f t="array" aca="1" ref="E93" ca="1">_xlfn._xlws.SORT(_xlfn._xlws.FILTER(C93:C320,B93:B320=E93))</f>
        <v>0</v>
      </c>
    </row>
    <row r="94" spans="1:5" x14ac:dyDescent="0.2">
      <c r="A94">
        <v>94</v>
      </c>
      <c r="B94" t="s">
        <v>97</v>
      </c>
      <c r="C94">
        <v>19150</v>
      </c>
      <c r="D94">
        <v>2019</v>
      </c>
      <c r="E94" cm="1">
        <f t="array" aca="1" ref="E94" ca="1">SUMPRODUCT(SUBTOTAL(3,OFFSET($C$2:$C$228,ROW($C$2:$K$228)-MIN(ROW($C$2:$C$228)),0,1)),--(C94&lt;$C$2:$C$228))+1</f>
        <v>93</v>
      </c>
    </row>
    <row r="95" spans="1:5" x14ac:dyDescent="0.2">
      <c r="A95">
        <v>95</v>
      </c>
      <c r="B95" t="s">
        <v>98</v>
      </c>
      <c r="C95">
        <v>18558</v>
      </c>
      <c r="D95">
        <v>2019</v>
      </c>
      <c r="E95" cm="1">
        <f t="array" aca="1" ref="E95" ca="1">SUMPRODUCT(SUBTOTAL(3,OFFSET($C$2:$C$228,ROW($C$2:$K$228)-MIN(ROW($C$2:$C$228)),0,1)),--(C95&lt;$C$2:$C$228))+1</f>
        <v>94</v>
      </c>
    </row>
    <row r="96" spans="1:5" x14ac:dyDescent="0.2">
      <c r="A96">
        <v>96</v>
      </c>
      <c r="B96" t="s">
        <v>99</v>
      </c>
      <c r="C96">
        <v>18460</v>
      </c>
      <c r="D96">
        <v>2019</v>
      </c>
      <c r="E96" cm="1">
        <f t="array" aca="1" ref="E96" ca="1">SUMPRODUCT(SUBTOTAL(3,OFFSET($C$2:$C$228,ROW($C$2:$K$228)-MIN(ROW($C$2:$C$228)),0,1)),--(C96&lt;$C$2:$C$228))+1</f>
        <v>95</v>
      </c>
    </row>
    <row r="97" spans="1:5" x14ac:dyDescent="0.2">
      <c r="A97">
        <v>97</v>
      </c>
      <c r="B97" t="s">
        <v>100</v>
      </c>
      <c r="C97">
        <v>18413</v>
      </c>
      <c r="D97">
        <v>2019</v>
      </c>
      <c r="E97" cm="1">
        <f t="array" aca="1" ref="E97" ca="1">SUMPRODUCT(SUBTOTAL(3,OFFSET($C$2:$C$228,ROW($C$2:$K$228)-MIN(ROW($C$2:$C$228)),0,1)),--(C97&lt;$C$2:$C$228))+1</f>
        <v>96</v>
      </c>
    </row>
    <row r="98" spans="1:5" x14ac:dyDescent="0.2">
      <c r="A98">
        <v>98</v>
      </c>
      <c r="B98" t="s">
        <v>101</v>
      </c>
      <c r="C98">
        <v>18233</v>
      </c>
      <c r="D98">
        <v>2019</v>
      </c>
      <c r="E98" cm="1">
        <f t="array" aca="1" ref="E98" ca="1">SUMPRODUCT(SUBTOTAL(3,OFFSET($C$2:$C$228,ROW($C$2:$K$228)-MIN(ROW($C$2:$C$228)),0,1)),--(C98&lt;$C$2:$C$228))+1</f>
        <v>97</v>
      </c>
    </row>
    <row r="99" spans="1:5" x14ac:dyDescent="0.2">
      <c r="A99">
        <v>99</v>
      </c>
      <c r="B99" t="s">
        <v>102</v>
      </c>
      <c r="C99">
        <v>17767</v>
      </c>
      <c r="D99">
        <v>2019</v>
      </c>
      <c r="E99" cm="1">
        <f t="array" aca="1" ref="E99" ca="1">SUMPRODUCT(SUBTOTAL(3,OFFSET($C$2:$C$228,ROW($C$2:$K$228)-MIN(ROW($C$2:$C$228)),0,1)),--(C99&lt;$C$2:$C$228))+1</f>
        <v>98</v>
      </c>
    </row>
    <row r="100" spans="1:5" x14ac:dyDescent="0.2">
      <c r="A100">
        <v>100</v>
      </c>
      <c r="B100" t="s">
        <v>103</v>
      </c>
      <c r="C100">
        <v>17579</v>
      </c>
      <c r="D100">
        <v>2019</v>
      </c>
      <c r="E100" cm="1">
        <f t="array" aca="1" ref="E100" ca="1">SUMPRODUCT(SUBTOTAL(3,OFFSET($C$2:$C$228,ROW($C$2:$K$228)-MIN(ROW($C$2:$C$228)),0,1)),--(C100&lt;$C$2:$C$228))+1</f>
        <v>99</v>
      </c>
    </row>
    <row r="101" spans="1:5" x14ac:dyDescent="0.2">
      <c r="A101">
        <v>101</v>
      </c>
      <c r="B101" t="s">
        <v>104</v>
      </c>
      <c r="C101">
        <v>17500</v>
      </c>
      <c r="D101">
        <v>2017</v>
      </c>
      <c r="E101" cm="1">
        <f t="array" aca="1" ref="E101" ca="1">_xlfn._xlws.SORT(_xlfn._xlws.FILTER(C101:C328,B101:B328=E101))</f>
        <v>0</v>
      </c>
    </row>
    <row r="102" spans="1:5" x14ac:dyDescent="0.2">
      <c r="A102">
        <v>102</v>
      </c>
      <c r="B102" t="s">
        <v>105</v>
      </c>
      <c r="C102">
        <v>17039</v>
      </c>
      <c r="D102">
        <v>2019</v>
      </c>
      <c r="E102" cm="1">
        <f t="array" aca="1" ref="E102" ca="1">SUMPRODUCT(SUBTOTAL(3,OFFSET($C$2:$C$228,ROW($C$2:$K$228)-MIN(ROW($C$2:$C$228)),0,1)),--(C102&lt;$C$2:$C$228))+1</f>
        <v>101</v>
      </c>
    </row>
    <row r="103" spans="1:5" x14ac:dyDescent="0.2">
      <c r="A103">
        <v>103</v>
      </c>
      <c r="B103" t="s">
        <v>106</v>
      </c>
      <c r="C103">
        <v>17000</v>
      </c>
      <c r="D103">
        <v>2015</v>
      </c>
      <c r="E103" cm="1">
        <f t="array" aca="1" ref="E103" ca="1">_xlfn._xlws.SORT(_xlfn._xlws.FILTER(C103:C330,B103:B330=E103))</f>
        <v>0</v>
      </c>
    </row>
    <row r="104" spans="1:5" x14ac:dyDescent="0.2">
      <c r="A104">
        <v>104</v>
      </c>
      <c r="B104" t="s">
        <v>107</v>
      </c>
      <c r="C104">
        <v>16700</v>
      </c>
      <c r="D104">
        <v>2016</v>
      </c>
      <c r="E104" cm="1">
        <f t="array" aca="1" ref="E104" ca="1">_xlfn._xlws.SORT(_xlfn._xlws.FILTER(C104:C331,B104:B331=E104))</f>
        <v>0</v>
      </c>
    </row>
    <row r="105" spans="1:5" x14ac:dyDescent="0.2">
      <c r="A105">
        <v>105</v>
      </c>
      <c r="B105" t="s">
        <v>108</v>
      </c>
      <c r="C105">
        <v>16525</v>
      </c>
      <c r="D105">
        <v>2019</v>
      </c>
      <c r="E105" cm="1">
        <f t="array" aca="1" ref="E105" ca="1">SUMPRODUCT(SUBTOTAL(3,OFFSET($C$2:$C$228,ROW($C$2:$K$228)-MIN(ROW($C$2:$C$228)),0,1)),--(C105&lt;$C$2:$C$228))+1</f>
        <v>104</v>
      </c>
    </row>
    <row r="106" spans="1:5" x14ac:dyDescent="0.2">
      <c r="A106">
        <v>106</v>
      </c>
      <c r="B106" t="s">
        <v>109</v>
      </c>
      <c r="C106">
        <v>16479</v>
      </c>
      <c r="D106">
        <v>2019</v>
      </c>
      <c r="E106" cm="1">
        <f t="array" aca="1" ref="E106" ca="1">SUMPRODUCT(SUBTOTAL(3,OFFSET($C$2:$C$228,ROW($C$2:$K$228)-MIN(ROW($C$2:$C$228)),0,1)),--(C106&lt;$C$2:$C$228))+1</f>
        <v>105</v>
      </c>
    </row>
    <row r="107" spans="1:5" x14ac:dyDescent="0.2">
      <c r="A107">
        <v>107</v>
      </c>
      <c r="B107" t="s">
        <v>110</v>
      </c>
      <c r="C107">
        <v>16117</v>
      </c>
      <c r="D107">
        <v>2019</v>
      </c>
      <c r="E107" cm="1">
        <f t="array" aca="1" ref="E107" ca="1">SUMPRODUCT(SUBTOTAL(3,OFFSET($C$2:$C$228,ROW($C$2:$K$228)-MIN(ROW($C$2:$C$228)),0,1)),--(C107&lt;$C$2:$C$228))+1</f>
        <v>106</v>
      </c>
    </row>
    <row r="108" spans="1:5" x14ac:dyDescent="0.2">
      <c r="A108">
        <v>108</v>
      </c>
      <c r="B108" t="s">
        <v>111</v>
      </c>
      <c r="C108">
        <v>15639</v>
      </c>
      <c r="D108">
        <v>2019</v>
      </c>
      <c r="E108" cm="1">
        <f t="array" aca="1" ref="E108" ca="1">SUMPRODUCT(SUBTOTAL(3,OFFSET($C$2:$C$228,ROW($C$2:$K$228)-MIN(ROW($C$2:$C$228)),0,1)),--(C108&lt;$C$2:$C$228))+1</f>
        <v>107</v>
      </c>
    </row>
    <row r="109" spans="1:5" x14ac:dyDescent="0.2">
      <c r="A109">
        <v>109</v>
      </c>
      <c r="B109" t="s">
        <v>112</v>
      </c>
      <c r="C109">
        <v>15449</v>
      </c>
      <c r="D109">
        <v>2019</v>
      </c>
      <c r="E109" cm="1">
        <f t="array" aca="1" ref="E109" ca="1">SUMPRODUCT(SUBTOTAL(3,OFFSET($C$2:$C$228,ROW($C$2:$K$228)-MIN(ROW($C$2:$C$228)),0,1)),--(C109&lt;$C$2:$C$228))+1</f>
        <v>108</v>
      </c>
    </row>
    <row r="110" spans="1:5" x14ac:dyDescent="0.2">
      <c r="A110">
        <v>110</v>
      </c>
      <c r="B110" t="s">
        <v>113</v>
      </c>
      <c r="C110">
        <v>15174</v>
      </c>
      <c r="D110">
        <v>2019</v>
      </c>
      <c r="E110" cm="1">
        <f t="array" aca="1" ref="E110" ca="1">SUMPRODUCT(SUBTOTAL(3,OFFSET($C$2:$C$228,ROW($C$2:$K$228)-MIN(ROW($C$2:$C$228)),0,1)),--(C110&lt;$C$2:$C$228))+1</f>
        <v>109</v>
      </c>
    </row>
    <row r="111" spans="1:5" x14ac:dyDescent="0.2">
      <c r="A111">
        <v>111</v>
      </c>
      <c r="B111" t="s">
        <v>114</v>
      </c>
      <c r="C111">
        <v>14992</v>
      </c>
      <c r="D111">
        <v>2019</v>
      </c>
      <c r="E111" cm="1">
        <f t="array" aca="1" ref="E111" ca="1">SUMPRODUCT(SUBTOTAL(3,OFFSET($C$2:$C$228,ROW($C$2:$K$228)-MIN(ROW($C$2:$C$228)),0,1)),--(C111&lt;$C$2:$C$228))+1</f>
        <v>110</v>
      </c>
    </row>
    <row r="112" spans="1:5" x14ac:dyDescent="0.2">
      <c r="A112">
        <v>112</v>
      </c>
      <c r="B112" t="s">
        <v>115</v>
      </c>
      <c r="C112">
        <v>14950</v>
      </c>
      <c r="D112">
        <v>2019</v>
      </c>
      <c r="E112" cm="1">
        <f t="array" aca="1" ref="E112" ca="1">SUMPRODUCT(SUBTOTAL(3,OFFSET($C$2:$C$228,ROW($C$2:$K$228)-MIN(ROW($C$2:$C$228)),0,1)),--(C112&lt;$C$2:$C$228))+1</f>
        <v>111</v>
      </c>
    </row>
    <row r="113" spans="1:5" x14ac:dyDescent="0.2">
      <c r="A113">
        <v>113</v>
      </c>
      <c r="B113" t="s">
        <v>116</v>
      </c>
      <c r="C113">
        <v>14912</v>
      </c>
      <c r="D113">
        <v>2019</v>
      </c>
      <c r="E113" cm="1">
        <f t="array" aca="1" ref="E113" ca="1">SUMPRODUCT(SUBTOTAL(3,OFFSET($C$2:$C$228,ROW($C$2:$K$228)-MIN(ROW($C$2:$C$228)),0,1)),--(C113&lt;$C$2:$C$228))+1</f>
        <v>112</v>
      </c>
    </row>
    <row r="114" spans="1:5" x14ac:dyDescent="0.2">
      <c r="A114">
        <v>114</v>
      </c>
      <c r="B114" t="s">
        <v>117</v>
      </c>
      <c r="C114">
        <v>14845</v>
      </c>
      <c r="D114">
        <v>2018</v>
      </c>
      <c r="E114" cm="1">
        <f t="array" aca="1" ref="E114" ca="1">_xlfn._xlws.SORT(_xlfn._xlws.FILTER(C114:C341,B114:B341=E114))</f>
        <v>0</v>
      </c>
    </row>
    <row r="115" spans="1:5" x14ac:dyDescent="0.2">
      <c r="A115">
        <v>115</v>
      </c>
      <c r="B115" t="s">
        <v>118</v>
      </c>
      <c r="C115">
        <v>14722</v>
      </c>
      <c r="D115">
        <v>2019</v>
      </c>
      <c r="E115" cm="1">
        <f t="array" aca="1" ref="E115" ca="1">SUMPRODUCT(SUBTOTAL(3,OFFSET($C$2:$C$228,ROW($C$2:$K$228)-MIN(ROW($C$2:$C$228)),0,1)),--(C115&lt;$C$2:$C$228))+1</f>
        <v>114</v>
      </c>
    </row>
    <row r="116" spans="1:5" x14ac:dyDescent="0.2">
      <c r="A116">
        <v>116</v>
      </c>
      <c r="B116" t="s">
        <v>119</v>
      </c>
      <c r="C116">
        <v>14652</v>
      </c>
      <c r="D116">
        <v>2019</v>
      </c>
      <c r="E116" cm="1">
        <f t="array" aca="1" ref="E116" ca="1">SUMPRODUCT(SUBTOTAL(3,OFFSET($C$2:$C$228,ROW($C$2:$K$228)-MIN(ROW($C$2:$C$228)),0,1)),--(C116&lt;$C$2:$C$228))+1</f>
        <v>115</v>
      </c>
    </row>
    <row r="117" spans="1:5" x14ac:dyDescent="0.2">
      <c r="A117">
        <v>117</v>
      </c>
      <c r="B117" t="s">
        <v>120</v>
      </c>
      <c r="C117">
        <v>14552</v>
      </c>
      <c r="D117">
        <v>2019</v>
      </c>
      <c r="E117" cm="1">
        <f t="array" aca="1" ref="E117" ca="1">SUMPRODUCT(SUBTOTAL(3,OFFSET($C$2:$C$228,ROW($C$2:$K$228)-MIN(ROW($C$2:$C$228)),0,1)),--(C117&lt;$C$2:$C$228))+1</f>
        <v>116</v>
      </c>
    </row>
    <row r="118" spans="1:5" x14ac:dyDescent="0.2">
      <c r="A118">
        <v>118</v>
      </c>
      <c r="B118" t="s">
        <v>121</v>
      </c>
      <c r="C118">
        <v>14404</v>
      </c>
      <c r="D118">
        <v>2019</v>
      </c>
      <c r="E118" cm="1">
        <f t="array" aca="1" ref="E118" ca="1">SUMPRODUCT(SUBTOTAL(3,OFFSET($C$2:$C$228,ROW($C$2:$K$228)-MIN(ROW($C$2:$C$228)),0,1)),--(C118&lt;$C$2:$C$228))+1</f>
        <v>117</v>
      </c>
    </row>
    <row r="119" spans="1:5" x14ac:dyDescent="0.2">
      <c r="A119">
        <v>119</v>
      </c>
      <c r="B119" t="s">
        <v>122</v>
      </c>
      <c r="C119">
        <v>13965</v>
      </c>
      <c r="D119">
        <v>2019</v>
      </c>
      <c r="E119" cm="1">
        <f t="array" aca="1" ref="E119" ca="1">SUMPRODUCT(SUBTOTAL(3,OFFSET($C$2:$C$228,ROW($C$2:$K$228)-MIN(ROW($C$2:$C$228)),0,1)),--(C119&lt;$C$2:$C$228))+1</f>
        <v>118</v>
      </c>
    </row>
    <row r="120" spans="1:5" x14ac:dyDescent="0.2">
      <c r="A120">
        <v>120</v>
      </c>
      <c r="B120" t="s">
        <v>123</v>
      </c>
      <c r="C120">
        <v>13684</v>
      </c>
      <c r="D120">
        <v>2019</v>
      </c>
      <c r="E120" cm="1">
        <f t="array" aca="1" ref="E120" ca="1">SUMPRODUCT(SUBTOTAL(3,OFFSET($C$2:$C$228,ROW($C$2:$K$228)-MIN(ROW($C$2:$C$228)),0,1)),--(C120&lt;$C$2:$C$228))+1</f>
        <v>119</v>
      </c>
    </row>
    <row r="121" spans="1:5" x14ac:dyDescent="0.2">
      <c r="A121">
        <v>121</v>
      </c>
      <c r="B121" t="s">
        <v>124</v>
      </c>
      <c r="C121">
        <v>13654</v>
      </c>
      <c r="D121">
        <v>2019</v>
      </c>
      <c r="E121" cm="1">
        <f t="array" aca="1" ref="E121" ca="1">SUMPRODUCT(SUBTOTAL(3,OFFSET($C$2:$C$228,ROW($C$2:$K$228)-MIN(ROW($C$2:$C$228)),0,1)),--(C121&lt;$C$2:$C$228))+1</f>
        <v>120</v>
      </c>
    </row>
    <row r="122" spans="1:5" x14ac:dyDescent="0.2">
      <c r="A122">
        <v>122</v>
      </c>
      <c r="B122" t="s">
        <v>125</v>
      </c>
      <c r="C122">
        <v>13082</v>
      </c>
      <c r="D122">
        <v>2019</v>
      </c>
      <c r="E122" cm="1">
        <f t="array" aca="1" ref="E122" ca="1">SUMPRODUCT(SUBTOTAL(3,OFFSET($C$2:$C$228,ROW($C$2:$K$228)-MIN(ROW($C$2:$C$228)),0,1)),--(C122&lt;$C$2:$C$228))+1</f>
        <v>121</v>
      </c>
    </row>
    <row r="123" spans="1:5" x14ac:dyDescent="0.2">
      <c r="A123">
        <v>123</v>
      </c>
      <c r="B123" t="s">
        <v>126</v>
      </c>
      <c r="C123">
        <v>13078</v>
      </c>
      <c r="D123">
        <v>2019</v>
      </c>
      <c r="E123" cm="1">
        <f t="array" aca="1" ref="E123" ca="1">SUMPRODUCT(SUBTOTAL(3,OFFSET($C$2:$C$228,ROW($C$2:$K$228)-MIN(ROW($C$2:$C$228)),0,1)),--(C123&lt;$C$2:$C$228))+1</f>
        <v>122</v>
      </c>
    </row>
    <row r="124" spans="1:5" x14ac:dyDescent="0.2">
      <c r="A124">
        <v>124</v>
      </c>
      <c r="B124" t="s">
        <v>127</v>
      </c>
      <c r="C124">
        <v>13050</v>
      </c>
      <c r="D124">
        <v>2019</v>
      </c>
      <c r="E124" cm="1">
        <f t="array" aca="1" ref="E124" ca="1">SUMPRODUCT(SUBTOTAL(3,OFFSET($C$2:$C$228,ROW($C$2:$K$228)-MIN(ROW($C$2:$C$228)),0,1)),--(C124&lt;$C$2:$C$228))+1</f>
        <v>123</v>
      </c>
    </row>
    <row r="125" spans="1:5" x14ac:dyDescent="0.2">
      <c r="A125">
        <v>125</v>
      </c>
      <c r="B125" t="s">
        <v>128</v>
      </c>
      <c r="C125">
        <v>12848</v>
      </c>
      <c r="D125">
        <v>2019</v>
      </c>
      <c r="E125" cm="1">
        <f t="array" aca="1" ref="E125" ca="1">SUMPRODUCT(SUBTOTAL(3,OFFSET($C$2:$C$228,ROW($C$2:$K$228)-MIN(ROW($C$2:$C$228)),0,1)),--(C125&lt;$C$2:$C$228))+1</f>
        <v>124</v>
      </c>
    </row>
    <row r="126" spans="1:5" x14ac:dyDescent="0.2">
      <c r="A126">
        <v>126</v>
      </c>
      <c r="B126" t="s">
        <v>129</v>
      </c>
      <c r="C126">
        <v>12810</v>
      </c>
      <c r="D126">
        <v>2019</v>
      </c>
      <c r="E126" cm="1">
        <f t="array" aca="1" ref="E126" ca="1">SUMPRODUCT(SUBTOTAL(3,OFFSET($C$2:$C$228,ROW($C$2:$K$228)-MIN(ROW($C$2:$C$228)),0,1)),--(C126&lt;$C$2:$C$228))+1</f>
        <v>125</v>
      </c>
    </row>
    <row r="127" spans="1:5" x14ac:dyDescent="0.2">
      <c r="A127">
        <v>127</v>
      </c>
      <c r="B127" t="s">
        <v>130</v>
      </c>
      <c r="C127">
        <v>12685</v>
      </c>
      <c r="D127">
        <v>2019</v>
      </c>
      <c r="E127" cm="1">
        <f t="array" aca="1" ref="E127" ca="1">SUMPRODUCT(SUBTOTAL(3,OFFSET($C$2:$C$228,ROW($C$2:$K$228)-MIN(ROW($C$2:$C$228)),0,1)),--(C127&lt;$C$2:$C$228))+1</f>
        <v>126</v>
      </c>
    </row>
    <row r="128" spans="1:5" x14ac:dyDescent="0.2">
      <c r="A128">
        <v>128</v>
      </c>
      <c r="B128" t="s">
        <v>131</v>
      </c>
      <c r="C128">
        <v>12485</v>
      </c>
      <c r="D128">
        <v>2019</v>
      </c>
      <c r="E128" cm="1">
        <f t="array" aca="1" ref="E128" ca="1">SUMPRODUCT(SUBTOTAL(3,OFFSET($C$2:$C$228,ROW($C$2:$K$228)-MIN(ROW($C$2:$C$228)),0,1)),--(C128&lt;$C$2:$C$228))+1</f>
        <v>127</v>
      </c>
    </row>
    <row r="129" spans="1:5" x14ac:dyDescent="0.2">
      <c r="A129">
        <v>129</v>
      </c>
      <c r="B129" t="s">
        <v>132</v>
      </c>
      <c r="C129">
        <v>12482</v>
      </c>
      <c r="D129">
        <v>2019</v>
      </c>
      <c r="E129" cm="1">
        <f t="array" aca="1" ref="E129" ca="1">SUMPRODUCT(SUBTOTAL(3,OFFSET($C$2:$C$228,ROW($C$2:$K$228)-MIN(ROW($C$2:$C$228)),0,1)),--(C129&lt;$C$2:$C$228))+1</f>
        <v>128</v>
      </c>
    </row>
    <row r="130" spans="1:5" x14ac:dyDescent="0.2">
      <c r="A130">
        <v>130</v>
      </c>
      <c r="B130" t="s">
        <v>133</v>
      </c>
      <c r="C130">
        <v>12389</v>
      </c>
      <c r="D130">
        <v>2019</v>
      </c>
      <c r="E130" cm="1">
        <f t="array" aca="1" ref="E130" ca="1">SUMPRODUCT(SUBTOTAL(3,OFFSET($C$2:$C$228,ROW($C$2:$K$228)-MIN(ROW($C$2:$C$228)),0,1)),--(C130&lt;$C$2:$C$228))+1</f>
        <v>129</v>
      </c>
    </row>
    <row r="131" spans="1:5" x14ac:dyDescent="0.2">
      <c r="A131">
        <v>131</v>
      </c>
      <c r="B131" t="s">
        <v>134</v>
      </c>
      <c r="C131">
        <v>12317</v>
      </c>
      <c r="D131">
        <v>2019</v>
      </c>
      <c r="E131" cm="1">
        <f t="array" aca="1" ref="E131" ca="1">SUMPRODUCT(SUBTOTAL(3,OFFSET($C$2:$C$228,ROW($C$2:$K$228)-MIN(ROW($C$2:$C$228)),0,1)),--(C131&lt;$C$2:$C$228))+1</f>
        <v>130</v>
      </c>
    </row>
    <row r="132" spans="1:5" x14ac:dyDescent="0.2">
      <c r="A132">
        <v>132</v>
      </c>
      <c r="B132" t="s">
        <v>135</v>
      </c>
      <c r="C132">
        <v>12300</v>
      </c>
      <c r="D132">
        <v>2016</v>
      </c>
      <c r="E132" cm="1">
        <f t="array" aca="1" ref="E132" ca="1">_xlfn._xlws.SORT(_xlfn._xlws.FILTER(C132:C359,B132:B359=E132))</f>
        <v>0</v>
      </c>
    </row>
    <row r="133" spans="1:5" x14ac:dyDescent="0.2">
      <c r="A133">
        <v>133</v>
      </c>
      <c r="B133" t="s">
        <v>136</v>
      </c>
      <c r="C133">
        <v>12200</v>
      </c>
      <c r="D133">
        <v>2008</v>
      </c>
      <c r="E133" cm="1">
        <f t="array" aca="1" ref="E133" ca="1">_xlfn._xlws.SORT(_xlfn._xlws.FILTER(C133:C360,B133:B360=E133))</f>
        <v>0</v>
      </c>
    </row>
    <row r="134" spans="1:5" x14ac:dyDescent="0.2">
      <c r="A134">
        <v>134</v>
      </c>
      <c r="B134" t="s">
        <v>137</v>
      </c>
      <c r="C134">
        <v>11917</v>
      </c>
      <c r="D134">
        <v>2019</v>
      </c>
      <c r="E134" cm="1">
        <f t="array" aca="1" ref="E134" ca="1">SUMPRODUCT(SUBTOTAL(3,OFFSET($C$2:$C$228,ROW($C$2:$K$228)-MIN(ROW($C$2:$C$228)),0,1)),--(C134&lt;$C$2:$C$228))+1</f>
        <v>133</v>
      </c>
    </row>
    <row r="135" spans="1:5" x14ac:dyDescent="0.2">
      <c r="A135">
        <v>135</v>
      </c>
      <c r="B135" t="s">
        <v>138</v>
      </c>
      <c r="C135">
        <v>11832</v>
      </c>
      <c r="D135">
        <v>2019</v>
      </c>
      <c r="E135" cm="1">
        <f t="array" aca="1" ref="E135" ca="1">SUMPRODUCT(SUBTOTAL(3,OFFSET($C$2:$C$228,ROW($C$2:$K$228)-MIN(ROW($C$2:$C$228)),0,1)),--(C135&lt;$C$2:$C$228))+1</f>
        <v>134</v>
      </c>
    </row>
    <row r="136" spans="1:5" x14ac:dyDescent="0.2">
      <c r="A136">
        <v>136</v>
      </c>
      <c r="B136" t="s">
        <v>139</v>
      </c>
      <c r="C136">
        <v>11812</v>
      </c>
      <c r="D136">
        <v>2019</v>
      </c>
      <c r="E136" cm="1">
        <f t="array" aca="1" ref="E136" ca="1">SUMPRODUCT(SUBTOTAL(3,OFFSET($C$2:$C$228,ROW($C$2:$K$228)-MIN(ROW($C$2:$C$228)),0,1)),--(C136&lt;$C$2:$C$228))+1</f>
        <v>135</v>
      </c>
    </row>
    <row r="137" spans="1:5" x14ac:dyDescent="0.2">
      <c r="A137">
        <v>137</v>
      </c>
      <c r="B137" t="s">
        <v>140</v>
      </c>
      <c r="C137">
        <v>11763</v>
      </c>
      <c r="D137">
        <v>2019</v>
      </c>
      <c r="E137" cm="1">
        <f t="array" aca="1" ref="E137" ca="1">SUMPRODUCT(SUBTOTAL(3,OFFSET($C$2:$C$228,ROW($C$2:$K$228)-MIN(ROW($C$2:$C$228)),0,1)),--(C137&lt;$C$2:$C$228))+1</f>
        <v>136</v>
      </c>
    </row>
    <row r="138" spans="1:5" x14ac:dyDescent="0.2">
      <c r="A138">
        <v>138</v>
      </c>
      <c r="B138" t="s">
        <v>141</v>
      </c>
      <c r="C138">
        <v>11583</v>
      </c>
      <c r="D138">
        <v>2019</v>
      </c>
      <c r="E138" cm="1">
        <f t="array" aca="1" ref="E138" ca="1">SUMPRODUCT(SUBTOTAL(3,OFFSET($C$2:$C$228,ROW($C$2:$K$228)-MIN(ROW($C$2:$C$228)),0,1)),--(C138&lt;$C$2:$C$228))+1</f>
        <v>137</v>
      </c>
    </row>
    <row r="139" spans="1:5" x14ac:dyDescent="0.2">
      <c r="A139">
        <v>139</v>
      </c>
      <c r="B139" t="s">
        <v>142</v>
      </c>
      <c r="C139">
        <v>11511</v>
      </c>
      <c r="D139">
        <v>2019</v>
      </c>
      <c r="E139" cm="1">
        <f t="array" aca="1" ref="E139" ca="1">SUMPRODUCT(SUBTOTAL(3,OFFSET($C$2:$C$228,ROW($C$2:$K$228)-MIN(ROW($C$2:$C$228)),0,1)),--(C139&lt;$C$2:$C$228))+1</f>
        <v>138</v>
      </c>
    </row>
    <row r="140" spans="1:5" x14ac:dyDescent="0.2">
      <c r="A140">
        <v>140</v>
      </c>
      <c r="B140" t="s">
        <v>143</v>
      </c>
      <c r="C140">
        <v>11375</v>
      </c>
      <c r="D140">
        <v>2019</v>
      </c>
      <c r="E140" cm="1">
        <f t="array" aca="1" ref="E140" ca="1">SUMPRODUCT(SUBTOTAL(3,OFFSET($C$2:$C$228,ROW($C$2:$K$228)-MIN(ROW($C$2:$C$228)),0,1)),--(C140&lt;$C$2:$C$228))+1</f>
        <v>139</v>
      </c>
    </row>
    <row r="141" spans="1:5" x14ac:dyDescent="0.2">
      <c r="A141">
        <v>141</v>
      </c>
      <c r="B141" t="s">
        <v>144</v>
      </c>
      <c r="C141">
        <v>11368</v>
      </c>
      <c r="D141">
        <v>2019</v>
      </c>
      <c r="E141" cm="1">
        <f t="array" aca="1" ref="E141" ca="1">SUMPRODUCT(SUBTOTAL(3,OFFSET($C$2:$C$228,ROW($C$2:$K$228)-MIN(ROW($C$2:$C$228)),0,1)),--(C141&lt;$C$2:$C$228))+1</f>
        <v>140</v>
      </c>
    </row>
    <row r="142" spans="1:5" x14ac:dyDescent="0.2">
      <c r="A142">
        <v>142</v>
      </c>
      <c r="B142" t="s">
        <v>145</v>
      </c>
      <c r="C142">
        <v>11200</v>
      </c>
      <c r="D142">
        <v>2016</v>
      </c>
      <c r="E142" cm="1">
        <f t="array" aca="1" ref="E142" ca="1">_xlfn._xlws.SORT(_xlfn._xlws.FILTER(C142:C369,B142:B369=E142))</f>
        <v>0</v>
      </c>
    </row>
    <row r="143" spans="1:5" x14ac:dyDescent="0.2">
      <c r="A143">
        <v>143</v>
      </c>
      <c r="B143" t="s">
        <v>146</v>
      </c>
      <c r="C143">
        <v>10881</v>
      </c>
      <c r="D143">
        <v>2019</v>
      </c>
      <c r="E143" cm="1">
        <f t="array" aca="1" ref="E143" ca="1">SUMPRODUCT(SUBTOTAL(3,OFFSET($C$2:$C$228,ROW($C$2:$K$228)-MIN(ROW($C$2:$C$228)),0,1)),--(C143&lt;$C$2:$C$228))+1</f>
        <v>142</v>
      </c>
    </row>
    <row r="144" spans="1:5" x14ac:dyDescent="0.2">
      <c r="A144">
        <v>144</v>
      </c>
      <c r="B144" t="s">
        <v>147</v>
      </c>
      <c r="C144">
        <v>10756</v>
      </c>
      <c r="D144">
        <v>2019</v>
      </c>
      <c r="E144" cm="1">
        <f t="array" aca="1" ref="E144" ca="1">SUMPRODUCT(SUBTOTAL(3,OFFSET($C$2:$C$228,ROW($C$2:$K$228)-MIN(ROW($C$2:$C$228)),0,1)),--(C144&lt;$C$2:$C$228))+1</f>
        <v>143</v>
      </c>
    </row>
    <row r="145" spans="1:5" x14ac:dyDescent="0.2">
      <c r="A145">
        <v>145</v>
      </c>
      <c r="B145" t="s">
        <v>148</v>
      </c>
      <c r="C145">
        <v>10071</v>
      </c>
      <c r="D145">
        <v>2019</v>
      </c>
      <c r="E145" cm="1">
        <f t="array" aca="1" ref="E145" ca="1">SUMPRODUCT(SUBTOTAL(3,OFFSET($C$2:$C$228,ROW($C$2:$K$228)-MIN(ROW($C$2:$C$228)),0,1)),--(C145&lt;$C$2:$C$228))+1</f>
        <v>144</v>
      </c>
    </row>
    <row r="146" spans="1:5" x14ac:dyDescent="0.2">
      <c r="A146">
        <v>146</v>
      </c>
      <c r="B146" t="s">
        <v>149</v>
      </c>
      <c r="C146">
        <v>9762</v>
      </c>
      <c r="D146">
        <v>2019</v>
      </c>
      <c r="E146" cm="1">
        <f t="array" aca="1" ref="E146" ca="1">SUMPRODUCT(SUBTOTAL(3,OFFSET($C$2:$C$228,ROW($C$2:$K$228)-MIN(ROW($C$2:$C$228)),0,1)),--(C146&lt;$C$2:$C$228))+1</f>
        <v>145</v>
      </c>
    </row>
    <row r="147" spans="1:5" x14ac:dyDescent="0.2">
      <c r="A147">
        <v>147</v>
      </c>
      <c r="B147" t="s">
        <v>150</v>
      </c>
      <c r="C147">
        <v>9637</v>
      </c>
      <c r="D147">
        <v>2019</v>
      </c>
      <c r="E147" cm="1">
        <f t="array" aca="1" ref="E147" ca="1">SUMPRODUCT(SUBTOTAL(3,OFFSET($C$2:$C$228,ROW($C$2:$K$228)-MIN(ROW($C$2:$C$228)),0,1)),--(C147&lt;$C$2:$C$228))+1</f>
        <v>146</v>
      </c>
    </row>
    <row r="148" spans="1:5" x14ac:dyDescent="0.2">
      <c r="A148">
        <v>148</v>
      </c>
      <c r="B148" t="s">
        <v>151</v>
      </c>
      <c r="C148">
        <v>8908</v>
      </c>
      <c r="D148">
        <v>2019</v>
      </c>
      <c r="E148" cm="1">
        <f t="array" aca="1" ref="E148" ca="1">SUMPRODUCT(SUBTOTAL(3,OFFSET($C$2:$C$228,ROW($C$2:$K$228)-MIN(ROW($C$2:$C$228)),0,1)),--(C148&lt;$C$2:$C$228))+1</f>
        <v>147</v>
      </c>
    </row>
    <row r="149" spans="1:5" x14ac:dyDescent="0.2">
      <c r="A149">
        <v>149</v>
      </c>
      <c r="B149" t="s">
        <v>152</v>
      </c>
      <c r="C149">
        <v>8776</v>
      </c>
      <c r="D149">
        <v>2019</v>
      </c>
      <c r="E149" cm="1">
        <f t="array" aca="1" ref="E149" ca="1">SUMPRODUCT(SUBTOTAL(3,OFFSET($C$2:$C$228,ROW($C$2:$K$228)-MIN(ROW($C$2:$C$228)),0,1)),--(C149&lt;$C$2:$C$228))+1</f>
        <v>148</v>
      </c>
    </row>
    <row r="150" spans="1:5" x14ac:dyDescent="0.2">
      <c r="A150">
        <v>150</v>
      </c>
      <c r="B150" t="s">
        <v>153</v>
      </c>
      <c r="C150">
        <v>8724</v>
      </c>
      <c r="D150">
        <v>2019</v>
      </c>
      <c r="E150" cm="1">
        <f t="array" aca="1" ref="E150" ca="1">SUMPRODUCT(SUBTOTAL(3,OFFSET($C$2:$C$228,ROW($C$2:$K$228)-MIN(ROW($C$2:$C$228)),0,1)),--(C150&lt;$C$2:$C$228))+1</f>
        <v>149</v>
      </c>
    </row>
    <row r="151" spans="1:5" x14ac:dyDescent="0.2">
      <c r="A151">
        <v>151</v>
      </c>
      <c r="B151" t="s">
        <v>154</v>
      </c>
      <c r="C151">
        <v>8637</v>
      </c>
      <c r="D151">
        <v>2019</v>
      </c>
      <c r="E151" cm="1">
        <f t="array" aca="1" ref="E151" ca="1">SUMPRODUCT(SUBTOTAL(3,OFFSET($C$2:$C$228,ROW($C$2:$K$228)-MIN(ROW($C$2:$C$228)),0,1)),--(C151&lt;$C$2:$C$228))+1</f>
        <v>150</v>
      </c>
    </row>
    <row r="152" spans="1:5" x14ac:dyDescent="0.2">
      <c r="A152">
        <v>152</v>
      </c>
      <c r="B152" t="s">
        <v>155</v>
      </c>
      <c r="C152">
        <v>8622</v>
      </c>
      <c r="D152">
        <v>2019</v>
      </c>
      <c r="E152" cm="1">
        <f t="array" aca="1" ref="E152" ca="1">SUMPRODUCT(SUBTOTAL(3,OFFSET($C$2:$C$228,ROW($C$2:$K$228)-MIN(ROW($C$2:$C$228)),0,1)),--(C152&lt;$C$2:$C$228))+1</f>
        <v>151</v>
      </c>
    </row>
    <row r="153" spans="1:5" x14ac:dyDescent="0.2">
      <c r="A153">
        <v>153</v>
      </c>
      <c r="B153" t="s">
        <v>156</v>
      </c>
      <c r="C153">
        <v>8041</v>
      </c>
      <c r="D153">
        <v>2019</v>
      </c>
      <c r="E153" cm="1">
        <f t="array" aca="1" ref="E153" ca="1">SUMPRODUCT(SUBTOTAL(3,OFFSET($C$2:$C$228,ROW($C$2:$K$228)-MIN(ROW($C$2:$C$228)),0,1)),--(C153&lt;$C$2:$C$228))+1</f>
        <v>152</v>
      </c>
    </row>
    <row r="154" spans="1:5" x14ac:dyDescent="0.2">
      <c r="A154">
        <v>154</v>
      </c>
      <c r="B154" t="s">
        <v>157</v>
      </c>
      <c r="C154">
        <v>7826</v>
      </c>
      <c r="D154">
        <v>2019</v>
      </c>
      <c r="E154" cm="1">
        <f t="array" aca="1" ref="E154" ca="1">SUMPRODUCT(SUBTOTAL(3,OFFSET($C$2:$C$228,ROW($C$2:$K$228)-MIN(ROW($C$2:$C$228)),0,1)),--(C154&lt;$C$2:$C$228))+1</f>
        <v>153</v>
      </c>
    </row>
    <row r="155" spans="1:5" x14ac:dyDescent="0.2">
      <c r="A155">
        <v>155</v>
      </c>
      <c r="B155" t="s">
        <v>158</v>
      </c>
      <c r="C155">
        <v>7704</v>
      </c>
      <c r="D155">
        <v>2018</v>
      </c>
      <c r="E155" cm="1">
        <f t="array" aca="1" ref="E155" ca="1">_xlfn._xlws.SORT(_xlfn._xlws.FILTER(C155:C382,B155:B382=E155))</f>
        <v>0</v>
      </c>
    </row>
    <row r="156" spans="1:5" x14ac:dyDescent="0.2">
      <c r="A156">
        <v>156</v>
      </c>
      <c r="B156" t="s">
        <v>159</v>
      </c>
      <c r="C156">
        <v>7515</v>
      </c>
      <c r="D156">
        <v>2019</v>
      </c>
      <c r="E156" cm="1">
        <f t="array" aca="1" ref="E156" ca="1">SUMPRODUCT(SUBTOTAL(3,OFFSET($C$2:$C$228,ROW($C$2:$K$228)-MIN(ROW($C$2:$C$228)),0,1)),--(C156&lt;$C$2:$C$228))+1</f>
        <v>155</v>
      </c>
    </row>
    <row r="157" spans="1:5" x14ac:dyDescent="0.2">
      <c r="A157">
        <v>157</v>
      </c>
      <c r="B157" t="s">
        <v>160</v>
      </c>
      <c r="C157">
        <v>7172</v>
      </c>
      <c r="D157">
        <v>2019</v>
      </c>
      <c r="E157" cm="1">
        <f t="array" aca="1" ref="E157" ca="1">SUMPRODUCT(SUBTOTAL(3,OFFSET($C$2:$C$228,ROW($C$2:$K$228)-MIN(ROW($C$2:$C$228)),0,1)),--(C157&lt;$C$2:$C$228))+1</f>
        <v>156</v>
      </c>
    </row>
    <row r="158" spans="1:5" x14ac:dyDescent="0.2">
      <c r="A158">
        <v>158</v>
      </c>
      <c r="B158" t="s">
        <v>161</v>
      </c>
      <c r="C158">
        <v>7005</v>
      </c>
      <c r="D158">
        <v>2019</v>
      </c>
      <c r="E158" cm="1">
        <f t="array" aca="1" ref="E158" ca="1">SUMPRODUCT(SUBTOTAL(3,OFFSET($C$2:$C$228,ROW($C$2:$K$228)-MIN(ROW($C$2:$C$228)),0,1)),--(C158&lt;$C$2:$C$228))+1</f>
        <v>157</v>
      </c>
    </row>
    <row r="159" spans="1:5" x14ac:dyDescent="0.2">
      <c r="A159">
        <v>159</v>
      </c>
      <c r="B159" t="s">
        <v>162</v>
      </c>
      <c r="C159">
        <v>6999</v>
      </c>
      <c r="D159">
        <v>2019</v>
      </c>
      <c r="E159" cm="1">
        <f t="array" aca="1" ref="E159" ca="1">SUMPRODUCT(SUBTOTAL(3,OFFSET($C$2:$C$228,ROW($C$2:$K$228)-MIN(ROW($C$2:$C$228)),0,1)),--(C159&lt;$C$2:$C$228))+1</f>
        <v>158</v>
      </c>
    </row>
    <row r="160" spans="1:5" x14ac:dyDescent="0.2">
      <c r="A160">
        <v>160</v>
      </c>
      <c r="B160" t="s">
        <v>163</v>
      </c>
      <c r="C160">
        <v>6700</v>
      </c>
      <c r="D160">
        <v>2019</v>
      </c>
      <c r="E160" cm="1">
        <f t="array" aca="1" ref="E160" ca="1">SUMPRODUCT(SUBTOTAL(3,OFFSET($C$2:$C$228,ROW($C$2:$K$228)-MIN(ROW($C$2:$C$228)),0,1)),--(C160&lt;$C$2:$C$228))+1</f>
        <v>159</v>
      </c>
    </row>
    <row r="161" spans="1:5" x14ac:dyDescent="0.2">
      <c r="A161">
        <v>161</v>
      </c>
      <c r="B161" t="s">
        <v>164</v>
      </c>
      <c r="C161">
        <v>6670</v>
      </c>
      <c r="D161">
        <v>2019</v>
      </c>
      <c r="E161" cm="1">
        <f t="array" aca="1" ref="E161" ca="1">SUMPRODUCT(SUBTOTAL(3,OFFSET($C$2:$C$228,ROW($C$2:$K$228)-MIN(ROW($C$2:$C$228)),0,1)),--(C161&lt;$C$2:$C$228))+1</f>
        <v>160</v>
      </c>
    </row>
    <row r="162" spans="1:5" x14ac:dyDescent="0.2">
      <c r="A162">
        <v>162</v>
      </c>
      <c r="B162" t="s">
        <v>165</v>
      </c>
      <c r="C162">
        <v>6521</v>
      </c>
      <c r="D162">
        <v>2019</v>
      </c>
      <c r="E162" cm="1">
        <f t="array" aca="1" ref="E162" ca="1">SUMPRODUCT(SUBTOTAL(3,OFFSET($C$2:$C$228,ROW($C$2:$K$228)-MIN(ROW($C$2:$C$228)),0,1)),--(C162&lt;$C$2:$C$228))+1</f>
        <v>161</v>
      </c>
    </row>
    <row r="163" spans="1:5" x14ac:dyDescent="0.2">
      <c r="A163">
        <v>163</v>
      </c>
      <c r="B163" t="s">
        <v>166</v>
      </c>
      <c r="C163">
        <v>6383</v>
      </c>
      <c r="D163">
        <v>2019</v>
      </c>
      <c r="E163" cm="1">
        <f t="array" aca="1" ref="E163" ca="1">SUMPRODUCT(SUBTOTAL(3,OFFSET($C$2:$C$228,ROW($C$2:$K$228)-MIN(ROW($C$2:$C$228)),0,1)),--(C163&lt;$C$2:$C$228))+1</f>
        <v>162</v>
      </c>
    </row>
    <row r="164" spans="1:5" x14ac:dyDescent="0.2">
      <c r="A164">
        <v>164</v>
      </c>
      <c r="B164" t="s">
        <v>167</v>
      </c>
      <c r="C164">
        <v>6220</v>
      </c>
      <c r="D164">
        <v>2019</v>
      </c>
      <c r="E164" cm="1">
        <f t="array" aca="1" ref="E164" ca="1">SUMPRODUCT(SUBTOTAL(3,OFFSET($C$2:$C$228,ROW($C$2:$K$228)-MIN(ROW($C$2:$C$228)),0,1)),--(C164&lt;$C$2:$C$228))+1</f>
        <v>163</v>
      </c>
    </row>
    <row r="165" spans="1:5" x14ac:dyDescent="0.2">
      <c r="A165">
        <v>165</v>
      </c>
      <c r="B165" t="s">
        <v>168</v>
      </c>
      <c r="C165">
        <v>6004</v>
      </c>
      <c r="D165">
        <v>2017</v>
      </c>
      <c r="E165" cm="1">
        <f t="array" aca="1" ref="E165" ca="1">_xlfn._xlws.SORT(_xlfn._xlws.FILTER(C165:C392,B165:B392=E165))</f>
        <v>0</v>
      </c>
    </row>
    <row r="166" spans="1:5" x14ac:dyDescent="0.2">
      <c r="A166">
        <v>166</v>
      </c>
      <c r="B166" t="s">
        <v>169</v>
      </c>
      <c r="C166">
        <v>5800</v>
      </c>
      <c r="D166">
        <v>2003</v>
      </c>
      <c r="E166" cm="1">
        <f t="array" aca="1" ref="E166" ca="1">_xlfn._xlws.SORT(_xlfn._xlws.FILTER(C166:C393,B166:B393=E166))</f>
        <v>0</v>
      </c>
    </row>
    <row r="167" spans="1:5" x14ac:dyDescent="0.2">
      <c r="A167">
        <v>167</v>
      </c>
      <c r="B167" t="s">
        <v>170</v>
      </c>
      <c r="C167">
        <v>5728</v>
      </c>
      <c r="D167">
        <v>2019</v>
      </c>
      <c r="E167" cm="1">
        <f t="array" aca="1" ref="E167" ca="1">SUMPRODUCT(SUBTOTAL(3,OFFSET($C$2:$C$228,ROW($C$2:$K$228)-MIN(ROW($C$2:$C$228)),0,1)),--(C167&lt;$C$2:$C$228))+1</f>
        <v>166</v>
      </c>
    </row>
    <row r="168" spans="1:5" x14ac:dyDescent="0.2">
      <c r="A168">
        <v>168</v>
      </c>
      <c r="B168" t="s">
        <v>171</v>
      </c>
      <c r="C168">
        <v>5535</v>
      </c>
      <c r="D168">
        <v>2019</v>
      </c>
      <c r="E168" cm="1">
        <f t="array" aca="1" ref="E168" ca="1">SUMPRODUCT(SUBTOTAL(3,OFFSET($C$2:$C$228,ROW($C$2:$K$228)-MIN(ROW($C$2:$C$228)),0,1)),--(C168&lt;$C$2:$C$228))+1</f>
        <v>167</v>
      </c>
    </row>
    <row r="169" spans="1:5" x14ac:dyDescent="0.2">
      <c r="A169">
        <v>169</v>
      </c>
      <c r="B169" t="s">
        <v>172</v>
      </c>
      <c r="C169">
        <v>5413</v>
      </c>
      <c r="D169">
        <v>2019</v>
      </c>
      <c r="E169" cm="1">
        <f t="array" aca="1" ref="E169" ca="1">SUMPRODUCT(SUBTOTAL(3,OFFSET($C$2:$C$228,ROW($C$2:$K$228)-MIN(ROW($C$2:$C$228)),0,1)),--(C169&lt;$C$2:$C$228))+1</f>
        <v>168</v>
      </c>
    </row>
    <row r="170" spans="1:5" x14ac:dyDescent="0.2">
      <c r="A170">
        <v>170</v>
      </c>
      <c r="B170" t="s">
        <v>173</v>
      </c>
      <c r="C170">
        <v>5407</v>
      </c>
      <c r="D170">
        <v>2019</v>
      </c>
      <c r="E170" cm="1">
        <f t="array" aca="1" ref="E170" ca="1">SUMPRODUCT(SUBTOTAL(3,OFFSET($C$2:$C$228,ROW($C$2:$K$228)-MIN(ROW($C$2:$C$228)),0,1)),--(C170&lt;$C$2:$C$228))+1</f>
        <v>169</v>
      </c>
    </row>
    <row r="171" spans="1:5" x14ac:dyDescent="0.2">
      <c r="A171">
        <v>171</v>
      </c>
      <c r="B171" t="s">
        <v>174</v>
      </c>
      <c r="C171">
        <v>5253</v>
      </c>
      <c r="D171">
        <v>2019</v>
      </c>
      <c r="E171" cm="1">
        <f t="array" aca="1" ref="E171" ca="1">SUMPRODUCT(SUBTOTAL(3,OFFSET($C$2:$C$228,ROW($C$2:$K$228)-MIN(ROW($C$2:$C$228)),0,1)),--(C171&lt;$C$2:$C$228))+1</f>
        <v>170</v>
      </c>
    </row>
    <row r="172" spans="1:5" x14ac:dyDescent="0.2">
      <c r="A172">
        <v>172</v>
      </c>
      <c r="B172" t="s">
        <v>175</v>
      </c>
      <c r="C172">
        <v>5213</v>
      </c>
      <c r="D172">
        <v>2019</v>
      </c>
      <c r="E172" cm="1">
        <f t="array" aca="1" ref="E172" ca="1">SUMPRODUCT(SUBTOTAL(3,OFFSET($C$2:$C$228,ROW($C$2:$K$228)-MIN(ROW($C$2:$C$228)),0,1)),--(C172&lt;$C$2:$C$228))+1</f>
        <v>171</v>
      </c>
    </row>
    <row r="173" spans="1:5" x14ac:dyDescent="0.2">
      <c r="A173">
        <v>173</v>
      </c>
      <c r="B173" t="s">
        <v>176</v>
      </c>
      <c r="C173">
        <v>5197</v>
      </c>
      <c r="D173">
        <v>2019</v>
      </c>
      <c r="E173" cm="1">
        <f t="array" aca="1" ref="E173" ca="1">SUMPRODUCT(SUBTOTAL(3,OFFSET($C$2:$C$228,ROW($C$2:$K$228)-MIN(ROW($C$2:$C$228)),0,1)),--(C173&lt;$C$2:$C$228))+1</f>
        <v>172</v>
      </c>
    </row>
    <row r="174" spans="1:5" x14ac:dyDescent="0.2">
      <c r="A174">
        <v>174</v>
      </c>
      <c r="B174" t="s">
        <v>177</v>
      </c>
      <c r="C174">
        <v>5142</v>
      </c>
      <c r="D174">
        <v>2019</v>
      </c>
      <c r="E174" cm="1">
        <f t="array" aca="1" ref="E174" ca="1">SUMPRODUCT(SUBTOTAL(3,OFFSET($C$2:$C$228,ROW($C$2:$K$228)-MIN(ROW($C$2:$C$228)),0,1)),--(C174&lt;$C$2:$C$228))+1</f>
        <v>173</v>
      </c>
    </row>
    <row r="175" spans="1:5" x14ac:dyDescent="0.2">
      <c r="A175">
        <v>175</v>
      </c>
      <c r="B175" t="s">
        <v>178</v>
      </c>
      <c r="C175">
        <v>5136</v>
      </c>
      <c r="D175">
        <v>2019</v>
      </c>
      <c r="E175" cm="1">
        <f t="array" aca="1" ref="E175" ca="1">SUMPRODUCT(SUBTOTAL(3,OFFSET($C$2:$C$228,ROW($C$2:$K$228)-MIN(ROW($C$2:$C$228)),0,1)),--(C175&lt;$C$2:$C$228))+1</f>
        <v>174</v>
      </c>
    </row>
    <row r="176" spans="1:5" x14ac:dyDescent="0.2">
      <c r="A176">
        <v>176</v>
      </c>
      <c r="B176" t="s">
        <v>179</v>
      </c>
      <c r="C176">
        <v>4754</v>
      </c>
      <c r="D176">
        <v>2019</v>
      </c>
      <c r="E176" cm="1">
        <f t="array" aca="1" ref="E176" ca="1">SUMPRODUCT(SUBTOTAL(3,OFFSET($C$2:$C$228,ROW($C$2:$K$228)-MIN(ROW($C$2:$C$228)),0,1)),--(C176&lt;$C$2:$C$228))+1</f>
        <v>175</v>
      </c>
    </row>
    <row r="177" spans="1:5" x14ac:dyDescent="0.2">
      <c r="A177">
        <v>177</v>
      </c>
      <c r="B177" t="s">
        <v>180</v>
      </c>
      <c r="C177">
        <v>4690</v>
      </c>
      <c r="D177">
        <v>2019</v>
      </c>
      <c r="E177" cm="1">
        <f t="array" aca="1" ref="E177" ca="1">SUMPRODUCT(SUBTOTAL(3,OFFSET($C$2:$C$228,ROW($C$2:$K$228)-MIN(ROW($C$2:$C$228)),0,1)),--(C177&lt;$C$2:$C$228))+1</f>
        <v>176</v>
      </c>
    </row>
    <row r="178" spans="1:5" x14ac:dyDescent="0.2">
      <c r="A178">
        <v>178</v>
      </c>
      <c r="B178" t="s">
        <v>181</v>
      </c>
      <c r="C178">
        <v>4389</v>
      </c>
      <c r="D178">
        <v>2019</v>
      </c>
      <c r="E178" cm="1">
        <f t="array" aca="1" ref="E178" ca="1">SUMPRODUCT(SUBTOTAL(3,OFFSET($C$2:$C$228,ROW($C$2:$K$228)-MIN(ROW($C$2:$C$228)),0,1)),--(C178&lt;$C$2:$C$228))+1</f>
        <v>177</v>
      </c>
    </row>
    <row r="179" spans="1:5" x14ac:dyDescent="0.2">
      <c r="A179">
        <v>179</v>
      </c>
      <c r="B179" t="s">
        <v>182</v>
      </c>
      <c r="C179">
        <v>4355</v>
      </c>
      <c r="D179">
        <v>2019</v>
      </c>
      <c r="E179" cm="1">
        <f t="array" aca="1" ref="E179" ca="1">SUMPRODUCT(SUBTOTAL(3,OFFSET($C$2:$C$228,ROW($C$2:$K$228)-MIN(ROW($C$2:$C$228)),0,1)),--(C179&lt;$C$2:$C$228))+1</f>
        <v>178</v>
      </c>
    </row>
    <row r="180" spans="1:5" x14ac:dyDescent="0.2">
      <c r="A180">
        <v>180</v>
      </c>
      <c r="B180" t="s">
        <v>183</v>
      </c>
      <c r="C180">
        <v>4330</v>
      </c>
      <c r="D180">
        <v>2019</v>
      </c>
      <c r="E180" cm="1">
        <f t="array" aca="1" ref="E180" ca="1">SUMPRODUCT(SUBTOTAL(3,OFFSET($C$2:$C$228,ROW($C$2:$K$228)-MIN(ROW($C$2:$C$228)),0,1)),--(C180&lt;$C$2:$C$228))+1</f>
        <v>179</v>
      </c>
    </row>
    <row r="181" spans="1:5" x14ac:dyDescent="0.2">
      <c r="A181">
        <v>181</v>
      </c>
      <c r="B181" t="s">
        <v>184</v>
      </c>
      <c r="C181">
        <v>4281</v>
      </c>
      <c r="D181">
        <v>2019</v>
      </c>
      <c r="E181" cm="1">
        <f t="array" aca="1" ref="E181" ca="1">SUMPRODUCT(SUBTOTAL(3,OFFSET($C$2:$C$228,ROW($C$2:$K$228)-MIN(ROW($C$2:$C$228)),0,1)),--(C181&lt;$C$2:$C$228))+1</f>
        <v>180</v>
      </c>
    </row>
    <row r="182" spans="1:5" x14ac:dyDescent="0.2">
      <c r="A182">
        <v>182</v>
      </c>
      <c r="B182" t="s">
        <v>185</v>
      </c>
      <c r="C182">
        <v>3970</v>
      </c>
      <c r="D182">
        <v>2019</v>
      </c>
      <c r="E182" cm="1">
        <f t="array" aca="1" ref="E182" ca="1">SUMPRODUCT(SUBTOTAL(3,OFFSET($C$2:$C$228,ROW($C$2:$K$228)-MIN(ROW($C$2:$C$228)),0,1)),--(C182&lt;$C$2:$C$228))+1</f>
        <v>181</v>
      </c>
    </row>
    <row r="183" spans="1:5" x14ac:dyDescent="0.2">
      <c r="A183">
        <v>183</v>
      </c>
      <c r="B183" t="s">
        <v>186</v>
      </c>
      <c r="C183">
        <v>3958</v>
      </c>
      <c r="D183">
        <v>2019</v>
      </c>
      <c r="E183" cm="1">
        <f t="array" aca="1" ref="E183" ca="1">SUMPRODUCT(SUBTOTAL(3,OFFSET($C$2:$C$228,ROW($C$2:$K$228)-MIN(ROW($C$2:$C$228)),0,1)),--(C183&lt;$C$2:$C$228))+1</f>
        <v>182</v>
      </c>
    </row>
    <row r="184" spans="1:5" x14ac:dyDescent="0.2">
      <c r="A184">
        <v>184</v>
      </c>
      <c r="B184" t="s">
        <v>187</v>
      </c>
      <c r="C184">
        <v>3889</v>
      </c>
      <c r="D184">
        <v>2018</v>
      </c>
      <c r="E184" cm="1">
        <f t="array" aca="1" ref="E184" ca="1">_xlfn._xlws.SORT(_xlfn._xlws.FILTER(C184:C411,B184:B411=E184))</f>
        <v>0</v>
      </c>
    </row>
    <row r="185" spans="1:5" x14ac:dyDescent="0.2">
      <c r="A185">
        <v>185</v>
      </c>
      <c r="B185" t="s">
        <v>188</v>
      </c>
      <c r="C185">
        <v>3800</v>
      </c>
      <c r="D185">
        <v>2004</v>
      </c>
      <c r="E185" cm="1">
        <f t="array" aca="1" ref="E185" ca="1">_xlfn._xlws.SORT(_xlfn._xlws.FILTER(C185:C412,B185:B412=E185))</f>
        <v>0</v>
      </c>
    </row>
    <row r="186" spans="1:5" x14ac:dyDescent="0.2">
      <c r="A186">
        <v>186</v>
      </c>
      <c r="B186" t="s">
        <v>189</v>
      </c>
      <c r="C186">
        <v>3673</v>
      </c>
      <c r="D186">
        <v>2019</v>
      </c>
      <c r="E186" cm="1">
        <f t="array" aca="1" ref="E186" ca="1">SUMPRODUCT(SUBTOTAL(3,OFFSET($C$2:$C$228,ROW($C$2:$K$228)-MIN(ROW($C$2:$C$228)),0,1)),--(C186&lt;$C$2:$C$228))+1</f>
        <v>185</v>
      </c>
    </row>
    <row r="187" spans="1:5" x14ac:dyDescent="0.2">
      <c r="A187">
        <v>187</v>
      </c>
      <c r="B187" t="s">
        <v>190</v>
      </c>
      <c r="C187">
        <v>3642</v>
      </c>
      <c r="D187">
        <v>2019</v>
      </c>
      <c r="E187" cm="1">
        <f t="array" aca="1" ref="E187" ca="1">SUMPRODUCT(SUBTOTAL(3,OFFSET($C$2:$C$228,ROW($C$2:$K$228)-MIN(ROW($C$2:$C$228)),0,1)),--(C187&lt;$C$2:$C$228))+1</f>
        <v>186</v>
      </c>
    </row>
    <row r="188" spans="1:5" x14ac:dyDescent="0.2">
      <c r="A188">
        <v>188</v>
      </c>
      <c r="B188" t="s">
        <v>191</v>
      </c>
      <c r="C188">
        <v>3553</v>
      </c>
      <c r="D188">
        <v>2019</v>
      </c>
      <c r="E188" cm="1">
        <f t="array" aca="1" ref="E188" ca="1">SUMPRODUCT(SUBTOTAL(3,OFFSET($C$2:$C$228,ROW($C$2:$K$228)-MIN(ROW($C$2:$C$228)),0,1)),--(C188&lt;$C$2:$C$228))+1</f>
        <v>187</v>
      </c>
    </row>
    <row r="189" spans="1:5" x14ac:dyDescent="0.2">
      <c r="A189">
        <v>189</v>
      </c>
      <c r="B189" t="s">
        <v>192</v>
      </c>
      <c r="C189">
        <v>3470</v>
      </c>
      <c r="D189">
        <v>2019</v>
      </c>
      <c r="E189" cm="1">
        <f t="array" aca="1" ref="E189" ca="1">SUMPRODUCT(SUBTOTAL(3,OFFSET($C$2:$C$228,ROW($C$2:$K$228)-MIN(ROW($C$2:$C$228)),0,1)),--(C189&lt;$C$2:$C$228))+1</f>
        <v>188</v>
      </c>
    </row>
    <row r="190" spans="1:5" x14ac:dyDescent="0.2">
      <c r="A190">
        <v>190</v>
      </c>
      <c r="B190" t="s">
        <v>193</v>
      </c>
      <c r="C190">
        <v>3464</v>
      </c>
      <c r="D190">
        <v>2018</v>
      </c>
      <c r="E190" cm="1">
        <f t="array" aca="1" ref="E190" ca="1">_xlfn._xlws.SORT(_xlfn._xlws.FILTER(C190:C417,B190:B417=E190))</f>
        <v>0</v>
      </c>
    </row>
    <row r="191" spans="1:5" x14ac:dyDescent="0.2">
      <c r="A191">
        <v>191</v>
      </c>
      <c r="B191" t="s">
        <v>194</v>
      </c>
      <c r="C191">
        <v>3417</v>
      </c>
      <c r="D191">
        <v>2019</v>
      </c>
      <c r="E191" cm="1">
        <f t="array" aca="1" ref="E191" ca="1">SUMPRODUCT(SUBTOTAL(3,OFFSET($C$2:$C$228,ROW($C$2:$K$228)-MIN(ROW($C$2:$C$228)),0,1)),--(C191&lt;$C$2:$C$228))+1</f>
        <v>190</v>
      </c>
    </row>
    <row r="192" spans="1:5" x14ac:dyDescent="0.2">
      <c r="A192">
        <v>192</v>
      </c>
      <c r="B192" t="s">
        <v>195</v>
      </c>
      <c r="C192">
        <v>3395</v>
      </c>
      <c r="D192">
        <v>2019</v>
      </c>
      <c r="E192" cm="1">
        <f t="array" aca="1" ref="E192" ca="1">SUMPRODUCT(SUBTOTAL(3,OFFSET($C$2:$C$228,ROW($C$2:$K$228)-MIN(ROW($C$2:$C$228)),0,1)),--(C192&lt;$C$2:$C$228))+1</f>
        <v>191</v>
      </c>
    </row>
    <row r="193" spans="1:5" x14ac:dyDescent="0.2">
      <c r="A193">
        <v>193</v>
      </c>
      <c r="B193" t="s">
        <v>196</v>
      </c>
      <c r="C193">
        <v>3380</v>
      </c>
      <c r="D193">
        <v>2019</v>
      </c>
      <c r="E193" cm="1">
        <f t="array" aca="1" ref="E193" ca="1">SUMPRODUCT(SUBTOTAL(3,OFFSET($C$2:$C$228,ROW($C$2:$K$228)-MIN(ROW($C$2:$C$228)),0,1)),--(C193&lt;$C$2:$C$228))+1</f>
        <v>192</v>
      </c>
    </row>
    <row r="194" spans="1:5" x14ac:dyDescent="0.2">
      <c r="A194">
        <v>194</v>
      </c>
      <c r="B194" t="s">
        <v>197</v>
      </c>
      <c r="C194">
        <v>3287</v>
      </c>
      <c r="D194">
        <v>2019</v>
      </c>
      <c r="E194" cm="1">
        <f t="array" aca="1" ref="E194" ca="1">SUMPRODUCT(SUBTOTAL(3,OFFSET($C$2:$C$228,ROW($C$2:$K$228)-MIN(ROW($C$2:$C$228)),0,1)),--(C194&lt;$C$2:$C$228))+1</f>
        <v>193</v>
      </c>
    </row>
    <row r="195" spans="1:5" x14ac:dyDescent="0.2">
      <c r="A195">
        <v>195</v>
      </c>
      <c r="B195" t="s">
        <v>198</v>
      </c>
      <c r="C195">
        <v>3153</v>
      </c>
      <c r="D195">
        <v>2019</v>
      </c>
      <c r="E195" cm="1">
        <f t="array" aca="1" ref="E195" ca="1">SUMPRODUCT(SUBTOTAL(3,OFFSET($C$2:$C$228,ROW($C$2:$K$228)-MIN(ROW($C$2:$C$228)),0,1)),--(C195&lt;$C$2:$C$228))+1</f>
        <v>194</v>
      </c>
    </row>
    <row r="196" spans="1:5" x14ac:dyDescent="0.2">
      <c r="A196">
        <v>196</v>
      </c>
      <c r="B196" t="s">
        <v>199</v>
      </c>
      <c r="C196">
        <v>3060</v>
      </c>
      <c r="D196">
        <v>2019</v>
      </c>
      <c r="E196" cm="1">
        <f t="array" aca="1" ref="E196" ca="1">SUMPRODUCT(SUBTOTAL(3,OFFSET($C$2:$C$228,ROW($C$2:$K$228)-MIN(ROW($C$2:$C$228)),0,1)),--(C196&lt;$C$2:$C$228))+1</f>
        <v>195</v>
      </c>
    </row>
    <row r="197" spans="1:5" x14ac:dyDescent="0.2">
      <c r="A197">
        <v>197</v>
      </c>
      <c r="B197" t="s">
        <v>200</v>
      </c>
      <c r="C197">
        <v>2905</v>
      </c>
      <c r="D197">
        <v>2019</v>
      </c>
      <c r="E197" cm="1">
        <f t="array" aca="1" ref="E197" ca="1">SUMPRODUCT(SUBTOTAL(3,OFFSET($C$2:$C$228,ROW($C$2:$K$228)-MIN(ROW($C$2:$C$228)),0,1)),--(C197&lt;$C$2:$C$228))+1</f>
        <v>196</v>
      </c>
    </row>
    <row r="198" spans="1:5" x14ac:dyDescent="0.2">
      <c r="A198">
        <v>198</v>
      </c>
      <c r="B198" t="s">
        <v>201</v>
      </c>
      <c r="C198">
        <v>2900</v>
      </c>
      <c r="D198">
        <v>2015</v>
      </c>
      <c r="E198" cm="1">
        <f t="array" aca="1" ref="E198" ca="1">_xlfn._xlws.SORT(_xlfn._xlws.FILTER(C198:C425,B198:B425=E198))</f>
        <v>0</v>
      </c>
    </row>
    <row r="199" spans="1:5" x14ac:dyDescent="0.2">
      <c r="A199">
        <v>199</v>
      </c>
      <c r="B199" t="s">
        <v>202</v>
      </c>
      <c r="C199">
        <v>2836</v>
      </c>
      <c r="D199">
        <v>2019</v>
      </c>
      <c r="E199" cm="1">
        <f t="array" aca="1" ref="E199" ca="1">SUMPRODUCT(SUBTOTAL(3,OFFSET($C$2:$C$228,ROW($C$2:$K$228)-MIN(ROW($C$2:$C$228)),0,1)),--(C199&lt;$C$2:$C$228))+1</f>
        <v>198</v>
      </c>
    </row>
    <row r="200" spans="1:5" x14ac:dyDescent="0.2">
      <c r="A200">
        <v>200</v>
      </c>
      <c r="B200" t="s">
        <v>203</v>
      </c>
      <c r="C200">
        <v>2704</v>
      </c>
      <c r="D200">
        <v>2019</v>
      </c>
      <c r="E200" cm="1">
        <f t="array" aca="1" ref="E200" ca="1">SUMPRODUCT(SUBTOTAL(3,OFFSET($C$2:$C$228,ROW($C$2:$K$228)-MIN(ROW($C$2:$C$228)),0,1)),--(C200&lt;$C$2:$C$228))+1</f>
        <v>199</v>
      </c>
    </row>
    <row r="201" spans="1:5" x14ac:dyDescent="0.2">
      <c r="A201">
        <v>201</v>
      </c>
      <c r="B201" t="s">
        <v>204</v>
      </c>
      <c r="C201">
        <v>2663</v>
      </c>
      <c r="D201">
        <v>2019</v>
      </c>
      <c r="E201" cm="1">
        <f t="array" aca="1" ref="E201" ca="1">SUMPRODUCT(SUBTOTAL(3,OFFSET($C$2:$C$228,ROW($C$2:$K$228)-MIN(ROW($C$2:$C$228)),0,1)),--(C201&lt;$C$2:$C$228))+1</f>
        <v>200</v>
      </c>
    </row>
    <row r="202" spans="1:5" x14ac:dyDescent="0.2">
      <c r="A202">
        <v>202</v>
      </c>
      <c r="B202" t="s">
        <v>205</v>
      </c>
      <c r="C202">
        <v>2660</v>
      </c>
      <c r="D202">
        <v>2019</v>
      </c>
      <c r="E202" cm="1">
        <f t="array" aca="1" ref="E202" ca="1">SUMPRODUCT(SUBTOTAL(3,OFFSET($C$2:$C$228,ROW($C$2:$K$228)-MIN(ROW($C$2:$C$228)),0,1)),--(C202&lt;$C$2:$C$228))+1</f>
        <v>201</v>
      </c>
    </row>
    <row r="203" spans="1:5" x14ac:dyDescent="0.2">
      <c r="A203">
        <v>203</v>
      </c>
      <c r="B203" t="s">
        <v>206</v>
      </c>
      <c r="C203">
        <v>2562</v>
      </c>
      <c r="D203">
        <v>2019</v>
      </c>
      <c r="E203" cm="1">
        <f t="array" aca="1" ref="E203" ca="1">SUMPRODUCT(SUBTOTAL(3,OFFSET($C$2:$C$228,ROW($C$2:$K$228)-MIN(ROW($C$2:$C$228)),0,1)),--(C203&lt;$C$2:$C$228))+1</f>
        <v>202</v>
      </c>
    </row>
    <row r="204" spans="1:5" x14ac:dyDescent="0.2">
      <c r="A204">
        <v>204</v>
      </c>
      <c r="B204" t="s">
        <v>207</v>
      </c>
      <c r="C204">
        <v>2500</v>
      </c>
      <c r="D204">
        <v>2017</v>
      </c>
      <c r="E204" cm="1">
        <f t="array" aca="1" ref="E204" ca="1">_xlfn._xlws.SORT(_xlfn._xlws.FILTER(C204:C431,B204:B431=E204))</f>
        <v>0</v>
      </c>
    </row>
    <row r="205" spans="1:5" x14ac:dyDescent="0.2">
      <c r="A205">
        <v>205</v>
      </c>
      <c r="B205" t="s">
        <v>208</v>
      </c>
      <c r="C205">
        <v>2322</v>
      </c>
      <c r="D205">
        <v>2019</v>
      </c>
      <c r="E205" cm="1">
        <f t="array" aca="1" ref="E205" ca="1">SUMPRODUCT(SUBTOTAL(3,OFFSET($C$2:$C$228,ROW($C$2:$K$228)-MIN(ROW($C$2:$C$228)),0,1)),--(C205&lt;$C$2:$C$228))+1</f>
        <v>204</v>
      </c>
    </row>
    <row r="206" spans="1:5" x14ac:dyDescent="0.2">
      <c r="A206">
        <v>206</v>
      </c>
      <c r="B206" t="s">
        <v>209</v>
      </c>
      <c r="C206">
        <v>2272</v>
      </c>
      <c r="D206">
        <v>2019</v>
      </c>
      <c r="E206" cm="1">
        <f t="array" aca="1" ref="E206" ca="1">SUMPRODUCT(SUBTOTAL(3,OFFSET($C$2:$C$228,ROW($C$2:$K$228)-MIN(ROW($C$2:$C$228)),0,1)),--(C206&lt;$C$2:$C$228))+1</f>
        <v>205</v>
      </c>
    </row>
    <row r="207" spans="1:5" x14ac:dyDescent="0.2">
      <c r="A207">
        <v>207</v>
      </c>
      <c r="B207" t="s">
        <v>210</v>
      </c>
      <c r="C207">
        <v>2227</v>
      </c>
      <c r="D207">
        <v>2019</v>
      </c>
      <c r="E207" cm="1">
        <f t="array" aca="1" ref="E207" ca="1">SUMPRODUCT(SUBTOTAL(3,OFFSET($C$2:$C$228,ROW($C$2:$K$228)-MIN(ROW($C$2:$C$228)),0,1)),--(C207&lt;$C$2:$C$228))+1</f>
        <v>206</v>
      </c>
    </row>
    <row r="208" spans="1:5" x14ac:dyDescent="0.2">
      <c r="A208">
        <v>208</v>
      </c>
      <c r="B208" t="s">
        <v>211</v>
      </c>
      <c r="C208">
        <v>2223</v>
      </c>
      <c r="D208">
        <v>2019</v>
      </c>
      <c r="E208" cm="1">
        <f t="array" aca="1" ref="E208" ca="1">SUMPRODUCT(SUBTOTAL(3,OFFSET($C$2:$C$228,ROW($C$2:$K$228)-MIN(ROW($C$2:$C$228)),0,1)),--(C208&lt;$C$2:$C$228))+1</f>
        <v>207</v>
      </c>
    </row>
    <row r="209" spans="1:5" x14ac:dyDescent="0.2">
      <c r="A209">
        <v>209</v>
      </c>
      <c r="B209" t="s">
        <v>212</v>
      </c>
      <c r="C209">
        <v>2221</v>
      </c>
      <c r="D209">
        <v>2019</v>
      </c>
      <c r="E209" cm="1">
        <f t="array" aca="1" ref="E209" ca="1">SUMPRODUCT(SUBTOTAL(3,OFFSET($C$2:$C$228,ROW($C$2:$K$228)-MIN(ROW($C$2:$C$228)),0,1)),--(C209&lt;$C$2:$C$228))+1</f>
        <v>208</v>
      </c>
    </row>
    <row r="210" spans="1:5" x14ac:dyDescent="0.2">
      <c r="A210">
        <v>210</v>
      </c>
      <c r="B210" t="s">
        <v>213</v>
      </c>
      <c r="C210">
        <v>2187</v>
      </c>
      <c r="D210">
        <v>2019</v>
      </c>
      <c r="E210" cm="1">
        <f t="array" aca="1" ref="E210" ca="1">SUMPRODUCT(SUBTOTAL(3,OFFSET($C$2:$C$228,ROW($C$2:$K$228)-MIN(ROW($C$2:$C$228)),0,1)),--(C210&lt;$C$2:$C$228))+1</f>
        <v>209</v>
      </c>
    </row>
    <row r="211" spans="1:5" x14ac:dyDescent="0.2">
      <c r="A211">
        <v>211</v>
      </c>
      <c r="B211" t="s">
        <v>214</v>
      </c>
      <c r="C211">
        <v>2178</v>
      </c>
      <c r="D211">
        <v>2019</v>
      </c>
      <c r="E211" cm="1">
        <f t="array" aca="1" ref="E211" ca="1">SUMPRODUCT(SUBTOTAL(3,OFFSET($C$2:$C$228,ROW($C$2:$K$228)-MIN(ROW($C$2:$C$228)),0,1)),--(C211&lt;$C$2:$C$228))+1</f>
        <v>210</v>
      </c>
    </row>
    <row r="212" spans="1:5" x14ac:dyDescent="0.2">
      <c r="A212">
        <v>212</v>
      </c>
      <c r="B212" t="s">
        <v>215</v>
      </c>
      <c r="C212">
        <v>2065</v>
      </c>
      <c r="D212">
        <v>2019</v>
      </c>
      <c r="E212" cm="1">
        <f t="array" aca="1" ref="E212" ca="1">SUMPRODUCT(SUBTOTAL(3,OFFSET($C$2:$C$228,ROW($C$2:$K$228)-MIN(ROW($C$2:$C$228)),0,1)),--(C212&lt;$C$2:$C$228))+1</f>
        <v>211</v>
      </c>
    </row>
    <row r="213" spans="1:5" x14ac:dyDescent="0.2">
      <c r="A213">
        <v>213</v>
      </c>
      <c r="B213" t="s">
        <v>216</v>
      </c>
      <c r="C213">
        <v>1989</v>
      </c>
      <c r="D213">
        <v>2019</v>
      </c>
      <c r="E213" cm="1">
        <f t="array" aca="1" ref="E213" ca="1">SUMPRODUCT(SUBTOTAL(3,OFFSET($C$2:$C$228,ROW($C$2:$K$228)-MIN(ROW($C$2:$C$228)),0,1)),--(C213&lt;$C$2:$C$228))+1</f>
        <v>212</v>
      </c>
    </row>
    <row r="214" spans="1:5" x14ac:dyDescent="0.2">
      <c r="A214">
        <v>214</v>
      </c>
      <c r="B214" t="s">
        <v>217</v>
      </c>
      <c r="C214">
        <v>1718</v>
      </c>
      <c r="D214">
        <v>2019</v>
      </c>
      <c r="E214" cm="1">
        <f t="array" aca="1" ref="E214" ca="1">SUMPRODUCT(SUBTOTAL(3,OFFSET($C$2:$C$228,ROW($C$2:$K$228)-MIN(ROW($C$2:$C$228)),0,1)),--(C214&lt;$C$2:$C$228))+1</f>
        <v>213</v>
      </c>
    </row>
    <row r="215" spans="1:5" x14ac:dyDescent="0.2">
      <c r="A215">
        <v>215</v>
      </c>
      <c r="B215" t="s">
        <v>218</v>
      </c>
      <c r="C215">
        <v>1700</v>
      </c>
      <c r="D215">
        <v>2015</v>
      </c>
      <c r="E215" cm="1">
        <f t="array" aca="1" ref="E215" ca="1">_xlfn._xlws.SORT(_xlfn._xlws.FILTER(C215:C442,B215:B442=E215))</f>
        <v>0</v>
      </c>
    </row>
    <row r="216" spans="1:5" x14ac:dyDescent="0.2">
      <c r="A216">
        <v>216</v>
      </c>
      <c r="B216" t="s">
        <v>219</v>
      </c>
      <c r="C216">
        <v>1647</v>
      </c>
      <c r="D216">
        <v>2019</v>
      </c>
      <c r="E216" cm="1">
        <f t="array" aca="1" ref="E216" ca="1">SUMPRODUCT(SUBTOTAL(3,OFFSET($C$2:$C$228,ROW($C$2:$K$228)-MIN(ROW($C$2:$C$228)),0,1)),--(C216&lt;$C$2:$C$228))+1</f>
        <v>215</v>
      </c>
    </row>
    <row r="217" spans="1:5" x14ac:dyDescent="0.2">
      <c r="A217">
        <v>217</v>
      </c>
      <c r="B217" t="s">
        <v>220</v>
      </c>
      <c r="C217">
        <v>1600</v>
      </c>
      <c r="D217">
        <v>2019</v>
      </c>
      <c r="E217" cm="1">
        <f t="array" aca="1" ref="E217" ca="1">SUMPRODUCT(SUBTOTAL(3,OFFSET($C$2:$C$228,ROW($C$2:$K$228)-MIN(ROW($C$2:$C$228)),0,1)),--(C217&lt;$C$2:$C$228))+1</f>
        <v>216</v>
      </c>
    </row>
    <row r="218" spans="1:5" x14ac:dyDescent="0.2">
      <c r="A218">
        <v>218</v>
      </c>
      <c r="B218" t="s">
        <v>221</v>
      </c>
      <c r="C218">
        <v>1600</v>
      </c>
      <c r="D218">
        <v>2017</v>
      </c>
      <c r="E218" cm="1">
        <f t="array" aca="1" ref="E218" ca="1">_xlfn._xlws.SORT(_xlfn._xlws.FILTER(C218:C445,B218:B445=E218))</f>
        <v>0</v>
      </c>
    </row>
    <row r="219" spans="1:5" x14ac:dyDescent="0.2">
      <c r="A219">
        <v>219</v>
      </c>
      <c r="B219" t="s">
        <v>222</v>
      </c>
      <c r="C219">
        <v>1597</v>
      </c>
      <c r="D219">
        <v>2019</v>
      </c>
      <c r="E219" cm="1">
        <f t="array" aca="1" ref="E219" ca="1">SUMPRODUCT(SUBTOTAL(3,OFFSET($C$2:$C$228,ROW($C$2:$K$228)-MIN(ROW($C$2:$C$228)),0,1)),--(C219&lt;$C$2:$C$228))+1</f>
        <v>218</v>
      </c>
    </row>
    <row r="220" spans="1:5" x14ac:dyDescent="0.2">
      <c r="A220">
        <v>220</v>
      </c>
      <c r="B220" t="s">
        <v>223</v>
      </c>
      <c r="C220">
        <v>1580</v>
      </c>
      <c r="D220">
        <v>2019</v>
      </c>
      <c r="E220" cm="1">
        <f t="array" aca="1" ref="E220" ca="1">SUMPRODUCT(SUBTOTAL(3,OFFSET($C$2:$C$228,ROW($C$2:$K$228)-MIN(ROW($C$2:$C$228)),0,1)),--(C220&lt;$C$2:$C$228))+1</f>
        <v>219</v>
      </c>
    </row>
    <row r="221" spans="1:5" x14ac:dyDescent="0.2">
      <c r="A221">
        <v>221</v>
      </c>
      <c r="B221" t="s">
        <v>224</v>
      </c>
      <c r="C221">
        <v>1428</v>
      </c>
      <c r="D221">
        <v>2019</v>
      </c>
      <c r="E221" cm="1">
        <f t="array" aca="1" ref="E221" ca="1">SUMPRODUCT(SUBTOTAL(3,OFFSET($C$2:$C$228,ROW($C$2:$K$228)-MIN(ROW($C$2:$C$228)),0,1)),--(C221&lt;$C$2:$C$228))+1</f>
        <v>220</v>
      </c>
    </row>
    <row r="222" spans="1:5" x14ac:dyDescent="0.2">
      <c r="A222">
        <v>222</v>
      </c>
      <c r="B222" t="s">
        <v>225</v>
      </c>
      <c r="C222">
        <v>1281</v>
      </c>
      <c r="D222">
        <v>2019</v>
      </c>
      <c r="E222" cm="1">
        <f t="array" aca="1" ref="E222" ca="1">SUMPRODUCT(SUBTOTAL(3,OFFSET($C$2:$C$228,ROW($C$2:$K$228)-MIN(ROW($C$2:$C$228)),0,1)),--(C222&lt;$C$2:$C$228))+1</f>
        <v>221</v>
      </c>
    </row>
    <row r="223" spans="1:5" x14ac:dyDescent="0.2">
      <c r="A223">
        <v>223</v>
      </c>
      <c r="B223" t="s">
        <v>226</v>
      </c>
      <c r="C223">
        <v>1225</v>
      </c>
      <c r="D223">
        <v>2019</v>
      </c>
      <c r="E223" cm="1">
        <f t="array" aca="1" ref="E223" ca="1">SUMPRODUCT(SUBTOTAL(3,OFFSET($C$2:$C$228,ROW($C$2:$K$228)-MIN(ROW($C$2:$C$228)),0,1)),--(C223&lt;$C$2:$C$228))+1</f>
        <v>222</v>
      </c>
    </row>
    <row r="224" spans="1:5" x14ac:dyDescent="0.2">
      <c r="A224">
        <v>224</v>
      </c>
      <c r="B224" t="s">
        <v>227</v>
      </c>
      <c r="C224">
        <v>1098</v>
      </c>
      <c r="D224">
        <v>2019</v>
      </c>
      <c r="E224" cm="1">
        <f t="array" aca="1" ref="E224" ca="1">SUMPRODUCT(SUBTOTAL(3,OFFSET($C$2:$C$228,ROW($C$2:$K$228)-MIN(ROW($C$2:$C$228)),0,1)),--(C224&lt;$C$2:$C$228))+1</f>
        <v>223</v>
      </c>
    </row>
    <row r="225" spans="1:5" x14ac:dyDescent="0.2">
      <c r="A225">
        <v>225</v>
      </c>
      <c r="B225" t="s">
        <v>228</v>
      </c>
      <c r="C225">
        <v>1060</v>
      </c>
      <c r="D225">
        <v>2019</v>
      </c>
      <c r="E225" cm="1">
        <f t="array" aca="1" ref="E225" ca="1">SUMPRODUCT(SUBTOTAL(3,OFFSET($C$2:$C$228,ROW($C$2:$K$228)-MIN(ROW($C$2:$C$228)),0,1)),--(C225&lt;$C$2:$C$228))+1</f>
        <v>224</v>
      </c>
    </row>
    <row r="226" spans="1:5" x14ac:dyDescent="0.2">
      <c r="A226">
        <v>226</v>
      </c>
      <c r="B226" t="s">
        <v>229</v>
      </c>
      <c r="C226">
        <v>945</v>
      </c>
      <c r="D226">
        <v>2019</v>
      </c>
      <c r="E226" cm="1">
        <f t="array" aca="1" ref="E226" ca="1">SUMPRODUCT(SUBTOTAL(3,OFFSET($C$2:$C$228,ROW($C$2:$K$228)-MIN(ROW($C$2:$C$228)),0,1)),--(C226&lt;$C$2:$C$228))+1</f>
        <v>225</v>
      </c>
    </row>
    <row r="227" spans="1:5" x14ac:dyDescent="0.2">
      <c r="A227">
        <v>227</v>
      </c>
      <c r="B227" t="s">
        <v>230</v>
      </c>
      <c r="C227">
        <v>875.2</v>
      </c>
      <c r="D227">
        <v>2020</v>
      </c>
      <c r="E227" cm="1">
        <f t="array" aca="1" ref="E227" ca="1">_xlfn._xlws.SORT(_xlfn._xlws.FILTER(C227:C454,B227:B454=E227))</f>
        <v>0</v>
      </c>
    </row>
    <row r="228" spans="1:5" x14ac:dyDescent="0.2">
      <c r="A228">
        <v>228</v>
      </c>
      <c r="B228" t="s">
        <v>231</v>
      </c>
      <c r="C228">
        <v>752</v>
      </c>
      <c r="D228">
        <v>2019</v>
      </c>
      <c r="E228" cm="1">
        <f t="array" aca="1" ref="E228" ca="1">SUMPRODUCT(SUBTOTAL(3,OFFSET($C$2:$C$228,ROW($C$2:$K$228)-MIN(ROW($C$2:$C$228)),0,1)),--(C228&lt;$C$2:$C$228))+1</f>
        <v>227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69453-E44E-451A-B222-33861BAEE097}">
  <sheetPr codeName="Sheet4"/>
  <dimension ref="A1:G285"/>
  <sheetViews>
    <sheetView tabSelected="1" zoomScale="115" zoomScaleNormal="115" zoomScaleSheetLayoutView="100" workbookViewId="0">
      <selection activeCell="L257" sqref="L257"/>
    </sheetView>
  </sheetViews>
  <sheetFormatPr defaultRowHeight="14.25" x14ac:dyDescent="0.2"/>
  <cols>
    <col min="1" max="1" width="17.6640625" customWidth="1"/>
    <col min="2" max="2" width="24" hidden="1" customWidth="1"/>
    <col min="3" max="3" width="21.109375" style="10" customWidth="1"/>
    <col min="4" max="4" width="15" customWidth="1"/>
    <col min="5" max="5" width="10.88671875" customWidth="1"/>
    <col min="6" max="6" width="0" hidden="1" customWidth="1"/>
  </cols>
  <sheetData>
    <row r="1" spans="1:7" x14ac:dyDescent="0.2">
      <c r="A1" s="11" t="s">
        <v>1</v>
      </c>
      <c r="B1" t="s">
        <v>430</v>
      </c>
      <c r="C1" s="13" t="s">
        <v>2</v>
      </c>
      <c r="D1" s="14" t="s">
        <v>3</v>
      </c>
      <c r="E1" s="15" t="s">
        <v>433</v>
      </c>
      <c r="F1" t="s">
        <v>432</v>
      </c>
      <c r="G1" s="27"/>
    </row>
    <row r="2" spans="1:7" x14ac:dyDescent="0.2">
      <c r="A2" s="12" t="s">
        <v>4</v>
      </c>
      <c r="C2" s="16">
        <v>190513</v>
      </c>
      <c r="D2" s="17">
        <v>2019</v>
      </c>
      <c r="E2" s="18" cm="1">
        <f t="array" aca="1" ref="E2" ca="1">SUMPRODUCT(SUBTOTAL(3,OFFSET($C$2:$C$288,ROW($C$2:$C$248)-MIN(ROW($C$2:$C$248)),0,1)),--(C2&lt;$C$2:$C$248))+1</f>
        <v>1</v>
      </c>
      <c r="F2">
        <v>1</v>
      </c>
      <c r="G2" s="27"/>
    </row>
    <row r="3" spans="1:7" hidden="1" x14ac:dyDescent="0.2">
      <c r="A3" t="s">
        <v>5</v>
      </c>
      <c r="C3">
        <v>180367</v>
      </c>
      <c r="D3">
        <v>2018</v>
      </c>
      <c r="E3" cm="1">
        <f t="array" aca="1" ref="E3" ca="1">SUMPRODUCT(SUBTOTAL(3,OFFSET($C$2:$C$288,ROW($C$2:$C$248)-MIN(ROW($C$2:$C$248)),0,1)),--(C3&lt;$C$2:$C$248))+1</f>
        <v>2</v>
      </c>
      <c r="F3">
        <v>2</v>
      </c>
      <c r="G3" s="27"/>
    </row>
    <row r="4" spans="1:7" x14ac:dyDescent="0.2">
      <c r="A4" s="19" t="s">
        <v>6</v>
      </c>
      <c r="C4" s="20">
        <v>123965</v>
      </c>
      <c r="D4" s="21">
        <v>2019</v>
      </c>
      <c r="E4" s="22" cm="1">
        <f t="array" aca="1" ref="E4" ca="1">SUMPRODUCT(SUBTOTAL(3,OFFSET($C$2:$C$288,ROW($C$2:$C$248)-MIN(ROW($C$2:$C$248)),0,1)),--(C4&lt;$C$2:$C$248))+1</f>
        <v>2</v>
      </c>
      <c r="F4">
        <v>3</v>
      </c>
      <c r="G4" s="27"/>
    </row>
    <row r="5" spans="1:7" hidden="1" x14ac:dyDescent="0.2">
      <c r="A5" t="s">
        <v>7</v>
      </c>
      <c r="C5">
        <v>115874</v>
      </c>
      <c r="D5">
        <v>2020</v>
      </c>
      <c r="E5" cm="1">
        <f t="array" aca="1" ref="E5" ca="1">SUMPRODUCT(SUBTOTAL(3,OFFSET($C$2:$C$288,ROW($C$2:$C$248)-MIN(ROW($C$2:$C$248)),0,1)),--(C5&lt;$C$2:$C$248))+1</f>
        <v>3</v>
      </c>
      <c r="F5">
        <v>4</v>
      </c>
      <c r="G5" s="27"/>
    </row>
    <row r="6" spans="1:7" x14ac:dyDescent="0.2">
      <c r="A6" s="11" t="s">
        <v>8</v>
      </c>
      <c r="C6" s="13">
        <v>97341</v>
      </c>
      <c r="D6" s="14">
        <v>2019</v>
      </c>
      <c r="E6" s="15" cm="1">
        <f t="array" aca="1" ref="E6" ca="1">SUMPRODUCT(SUBTOTAL(3,OFFSET($C$2:$C$288,ROW($C$2:$C$248)-MIN(ROW($C$2:$C$248)),0,1)),--(C6&lt;$C$2:$C$248))+1</f>
        <v>3</v>
      </c>
      <c r="F6">
        <v>5</v>
      </c>
      <c r="G6" s="27"/>
    </row>
    <row r="7" spans="1:7" x14ac:dyDescent="0.2">
      <c r="A7" s="23" t="s">
        <v>9</v>
      </c>
      <c r="C7" s="24">
        <v>90044</v>
      </c>
      <c r="D7" s="25">
        <v>2019</v>
      </c>
      <c r="E7" s="26" cm="1">
        <f t="array" aca="1" ref="E7" ca="1">SUMPRODUCT(SUBTOTAL(3,OFFSET($C$2:$C$288,ROW($C$2:$C$248)-MIN(ROW($C$2:$C$248)),0,1)),--(C7&lt;$C$2:$C$248))+1</f>
        <v>4</v>
      </c>
      <c r="F7">
        <v>6</v>
      </c>
      <c r="G7" s="27"/>
    </row>
    <row r="8" spans="1:7" x14ac:dyDescent="0.2">
      <c r="A8" s="12" t="s">
        <v>10</v>
      </c>
      <c r="C8" s="16">
        <v>86781</v>
      </c>
      <c r="D8" s="17">
        <v>2019</v>
      </c>
      <c r="E8" s="18" cm="1">
        <f t="array" aca="1" ref="E8" ca="1">SUMPRODUCT(SUBTOTAL(3,OFFSET($C$2:$C$288,ROW($C$2:$C$248)-MIN(ROW($C$2:$C$248)),0,1)),--(C8&lt;$C$2:$C$248))+1</f>
        <v>5</v>
      </c>
      <c r="F8">
        <v>7</v>
      </c>
      <c r="G8" s="27"/>
    </row>
    <row r="9" spans="1:7" hidden="1" x14ac:dyDescent="0.2">
      <c r="A9" t="s">
        <v>11</v>
      </c>
      <c r="C9">
        <v>84600</v>
      </c>
      <c r="D9">
        <v>2014</v>
      </c>
      <c r="E9" cm="1">
        <f t="array" aca="1" ref="E9" ca="1">SUMPRODUCT(SUBTOTAL(3,OFFSET($C$2:$C$288,ROW($C$2:$C$248)-MIN(ROW($C$2:$C$248)),0,1)),--(C9&lt;$C$2:$C$248))+1</f>
        <v>6</v>
      </c>
      <c r="F9">
        <v>8</v>
      </c>
      <c r="G9" s="27"/>
    </row>
    <row r="10" spans="1:7" x14ac:dyDescent="0.2">
      <c r="A10" s="19" t="s">
        <v>12</v>
      </c>
      <c r="C10" s="20">
        <v>81798</v>
      </c>
      <c r="D10" s="21">
        <v>2019</v>
      </c>
      <c r="E10" s="22" cm="1">
        <f t="array" aca="1" ref="E10" ca="1">SUMPRODUCT(SUBTOTAL(3,OFFSET($C$2:$C$288,ROW($C$2:$C$248)-MIN(ROW($C$2:$C$248)),0,1)),--(C10&lt;$C$2:$C$248))+1</f>
        <v>6</v>
      </c>
      <c r="F10">
        <v>9</v>
      </c>
      <c r="G10" s="27"/>
    </row>
    <row r="11" spans="1:7" hidden="1" x14ac:dyDescent="0.2">
      <c r="A11" t="s">
        <v>13</v>
      </c>
      <c r="C11">
        <v>71549</v>
      </c>
      <c r="D11">
        <v>2018</v>
      </c>
      <c r="E11" cm="1">
        <f t="array" aca="1" ref="E11" ca="1">SUMPRODUCT(SUBTOTAL(3,OFFSET($C$2:$C$288,ROW($C$2:$C$248)-MIN(ROW($C$2:$C$248)),0,1)),--(C11&lt;$C$2:$C$248))+1</f>
        <v>7</v>
      </c>
      <c r="F11">
        <v>10</v>
      </c>
      <c r="G11" s="27"/>
    </row>
    <row r="12" spans="1:7" hidden="1" x14ac:dyDescent="0.2">
      <c r="A12" t="s">
        <v>14</v>
      </c>
      <c r="C12">
        <v>70800</v>
      </c>
      <c r="D12">
        <v>2015</v>
      </c>
      <c r="E12" cm="1">
        <f t="array" aca="1" ref="E12" ca="1">SUMPRODUCT(SUBTOTAL(3,OFFSET($C$2:$C$288,ROW($C$2:$C$248)-MIN(ROW($C$2:$C$248)),0,1)),--(C12&lt;$C$2:$C$248))+1</f>
        <v>7</v>
      </c>
      <c r="F12">
        <v>11</v>
      </c>
      <c r="G12" s="27"/>
    </row>
    <row r="13" spans="1:7" x14ac:dyDescent="0.2">
      <c r="A13" s="11" t="s">
        <v>15</v>
      </c>
      <c r="C13" s="13">
        <v>68628</v>
      </c>
      <c r="D13" s="14">
        <v>2019</v>
      </c>
      <c r="E13" s="15" cm="1">
        <f t="array" aca="1" ref="E13" ca="1">SUMPRODUCT(SUBTOTAL(3,OFFSET($C$2:$C$288,ROW($C$2:$C$248)-MIN(ROW($C$2:$C$248)),0,1)),--(C13&lt;$C$2:$C$248))+1</f>
        <v>7</v>
      </c>
      <c r="F13">
        <v>12</v>
      </c>
      <c r="G13" s="27"/>
    </row>
    <row r="14" spans="1:7" x14ac:dyDescent="0.2">
      <c r="A14" s="23" t="s">
        <v>16</v>
      </c>
      <c r="C14" s="24">
        <v>67119</v>
      </c>
      <c r="D14" s="25">
        <v>2019</v>
      </c>
      <c r="E14" s="26" cm="1">
        <f t="array" aca="1" ref="E14" ca="1">SUMPRODUCT(SUBTOTAL(3,OFFSET($C$2:$C$288,ROW($C$2:$C$248)-MIN(ROW($C$2:$C$248)),0,1)),--(C14&lt;$C$2:$C$248))+1</f>
        <v>8</v>
      </c>
      <c r="F14">
        <v>13</v>
      </c>
      <c r="G14" s="27"/>
    </row>
    <row r="15" spans="1:7" x14ac:dyDescent="0.2">
      <c r="A15" s="23" t="s">
        <v>17</v>
      </c>
      <c r="C15" s="24">
        <v>63633</v>
      </c>
      <c r="D15" s="25">
        <v>2019</v>
      </c>
      <c r="E15" s="26" cm="1">
        <f t="array" aca="1" ref="E15" ca="1">SUMPRODUCT(SUBTOTAL(3,OFFSET($C$2:$C$288,ROW($C$2:$C$248)-MIN(ROW($C$2:$C$248)),0,1)),--(C15&lt;$C$2:$C$248))+1</f>
        <v>9</v>
      </c>
      <c r="F15">
        <v>14</v>
      </c>
      <c r="G15" s="27"/>
    </row>
    <row r="16" spans="1:7" x14ac:dyDescent="0.2">
      <c r="A16" s="23" t="s">
        <v>18</v>
      </c>
      <c r="C16" s="24">
        <v>62530</v>
      </c>
      <c r="D16" s="25">
        <v>2019</v>
      </c>
      <c r="E16" s="26" cm="1">
        <f t="array" aca="1" ref="E16" ca="1">SUMPRODUCT(SUBTOTAL(3,OFFSET($C$2:$C$288,ROW($C$2:$C$248)-MIN(ROW($C$2:$C$248)),0,1)),--(C16&lt;$C$2:$C$248))+1</f>
        <v>10</v>
      </c>
      <c r="F16">
        <v>15</v>
      </c>
      <c r="G16" s="27"/>
    </row>
    <row r="17" spans="1:7" x14ac:dyDescent="0.2">
      <c r="A17" s="12" t="s">
        <v>19</v>
      </c>
      <c r="C17" s="16">
        <v>62100</v>
      </c>
      <c r="D17" s="17">
        <v>2019</v>
      </c>
      <c r="E17" s="18" cm="1">
        <f t="array" aca="1" ref="E17" ca="1">SUMPRODUCT(SUBTOTAL(3,OFFSET($C$2:$C$288,ROW($C$2:$C$248)-MIN(ROW($C$2:$C$248)),0,1)),--(C17&lt;$C$2:$C$248))+1</f>
        <v>11</v>
      </c>
      <c r="F17">
        <v>16</v>
      </c>
      <c r="G17" s="27"/>
    </row>
    <row r="18" spans="1:7" hidden="1" x14ac:dyDescent="0.2">
      <c r="A18" t="s">
        <v>20</v>
      </c>
      <c r="C18">
        <v>61700</v>
      </c>
      <c r="D18">
        <v>2014</v>
      </c>
      <c r="E18" cm="1">
        <f t="array" aca="1" ref="E18" ca="1">SUMPRODUCT(SUBTOTAL(3,OFFSET($C$2:$C$288,ROW($C$2:$C$248)-MIN(ROW($C$2:$C$248)),0,1)),--(C18&lt;$C$2:$C$248))+1</f>
        <v>12</v>
      </c>
      <c r="F18">
        <v>17</v>
      </c>
      <c r="G18" s="27"/>
    </row>
    <row r="19" spans="1:7" x14ac:dyDescent="0.2">
      <c r="A19" s="19" t="s">
        <v>21</v>
      </c>
      <c r="C19" s="20">
        <v>59848</v>
      </c>
      <c r="D19" s="21">
        <v>2019</v>
      </c>
      <c r="E19" s="22" cm="1">
        <f t="array" aca="1" ref="E19" ca="1">SUMPRODUCT(SUBTOTAL(3,OFFSET($C$2:$C$288,ROW($C$2:$C$248)-MIN(ROW($C$2:$C$248)),0,1)),--(C19&lt;$C$2:$C$248))+1</f>
        <v>12</v>
      </c>
      <c r="F19">
        <v>18</v>
      </c>
      <c r="G19" s="27"/>
    </row>
    <row r="20" spans="1:7" hidden="1" x14ac:dyDescent="0.2">
      <c r="A20" t="s">
        <v>22</v>
      </c>
      <c r="C20">
        <v>59439</v>
      </c>
      <c r="D20">
        <v>2018</v>
      </c>
      <c r="E20" cm="1">
        <f t="array" aca="1" ref="E20" ca="1">SUMPRODUCT(SUBTOTAL(3,OFFSET($C$2:$C$288,ROW($C$2:$C$248)-MIN(ROW($C$2:$C$248)),0,1)),--(C20&lt;$C$2:$C$248))+1</f>
        <v>13</v>
      </c>
      <c r="F20">
        <v>19</v>
      </c>
      <c r="G20" s="27"/>
    </row>
    <row r="21" spans="1:7" x14ac:dyDescent="0.2">
      <c r="A21" s="11" t="s">
        <v>23</v>
      </c>
      <c r="C21" s="13">
        <v>57804</v>
      </c>
      <c r="D21" s="14">
        <v>2019</v>
      </c>
      <c r="E21" s="15" cm="1">
        <f t="array" aca="1" ref="E21" ca="1">SUMPRODUCT(SUBTOTAL(3,OFFSET($C$2:$C$288,ROW($C$2:$C$248)-MIN(ROW($C$2:$C$248)),0,1)),--(C21&lt;$C$2:$C$248))+1</f>
        <v>13</v>
      </c>
      <c r="F21">
        <v>20</v>
      </c>
      <c r="G21" s="27"/>
    </row>
    <row r="22" spans="1:7" x14ac:dyDescent="0.2">
      <c r="A22" s="12" t="s">
        <v>24</v>
      </c>
      <c r="C22" s="16">
        <v>56935</v>
      </c>
      <c r="D22" s="17">
        <v>2019</v>
      </c>
      <c r="E22" s="18" cm="1">
        <f t="array" aca="1" ref="E22" ca="1">SUMPRODUCT(SUBTOTAL(3,OFFSET($C$2:$C$288,ROW($C$2:$C$248)-MIN(ROW($C$2:$C$248)),0,1)),--(C22&lt;$C$2:$C$248))+1</f>
        <v>14</v>
      </c>
      <c r="F22">
        <v>21</v>
      </c>
      <c r="G22" s="27"/>
    </row>
    <row r="23" spans="1:7" hidden="1" x14ac:dyDescent="0.2">
      <c r="A23" t="s">
        <v>25</v>
      </c>
      <c r="C23">
        <v>56600</v>
      </c>
      <c r="D23">
        <v>2016</v>
      </c>
      <c r="E23" cm="1">
        <f t="array" aca="1" ref="E23" ca="1">SUMPRODUCT(SUBTOTAL(3,OFFSET($C$2:$C$288,ROW($C$2:$C$248)-MIN(ROW($C$2:$C$248)),0,1)),--(C23&lt;$C$2:$C$248))+1</f>
        <v>15</v>
      </c>
      <c r="F23">
        <v>22</v>
      </c>
      <c r="G23" s="27"/>
    </row>
    <row r="24" spans="1:7" x14ac:dyDescent="0.2">
      <c r="A24" s="11" t="s">
        <v>26</v>
      </c>
      <c r="C24" s="13">
        <v>56188</v>
      </c>
      <c r="D24" s="14">
        <v>2019</v>
      </c>
      <c r="E24" s="15" cm="1">
        <f t="array" aca="1" ref="E24" ca="1">SUMPRODUCT(SUBTOTAL(3,OFFSET($C$2:$C$288,ROW($C$2:$C$248)-MIN(ROW($C$2:$C$248)),0,1)),--(C24&lt;$C$2:$C$248))+1</f>
        <v>15</v>
      </c>
      <c r="F24">
        <v>23</v>
      </c>
      <c r="G24" s="27"/>
    </row>
    <row r="25" spans="1:7" x14ac:dyDescent="0.2">
      <c r="A25" s="23" t="s">
        <v>27</v>
      </c>
      <c r="C25" s="24">
        <v>55874</v>
      </c>
      <c r="D25" s="25">
        <v>2019</v>
      </c>
      <c r="E25" s="26" cm="1">
        <f t="array" aca="1" ref="E25" ca="1">SUMPRODUCT(SUBTOTAL(3,OFFSET($C$2:$C$288,ROW($C$2:$C$248)-MIN(ROW($C$2:$C$248)),0,1)),--(C25&lt;$C$2:$C$248))+1</f>
        <v>16</v>
      </c>
      <c r="F25">
        <v>24</v>
      </c>
      <c r="G25" s="27"/>
    </row>
    <row r="26" spans="1:7" x14ac:dyDescent="0.2">
      <c r="A26" s="23" t="s">
        <v>28</v>
      </c>
      <c r="C26" s="24">
        <v>53919</v>
      </c>
      <c r="D26" s="25">
        <v>2019</v>
      </c>
      <c r="E26" s="26" cm="1">
        <f t="array" aca="1" ref="E26" ca="1">SUMPRODUCT(SUBTOTAL(3,OFFSET($C$2:$C$288,ROW($C$2:$C$248)-MIN(ROW($C$2:$C$248)),0,1)),--(C26&lt;$C$2:$C$248))+1</f>
        <v>17</v>
      </c>
      <c r="F26">
        <v>25</v>
      </c>
      <c r="G26" s="27"/>
    </row>
    <row r="27" spans="1:7" x14ac:dyDescent="0.2">
      <c r="A27" s="12" t="s">
        <v>29</v>
      </c>
      <c r="C27" s="16">
        <v>53240</v>
      </c>
      <c r="D27" s="17">
        <v>2019</v>
      </c>
      <c r="E27" s="18" cm="1">
        <f t="array" aca="1" ref="E27" ca="1">SUMPRODUCT(SUBTOTAL(3,OFFSET($C$2:$C$288,ROW($C$2:$C$248)-MIN(ROW($C$2:$C$248)),0,1)),--(C27&lt;$C$2:$C$248))+1</f>
        <v>18</v>
      </c>
      <c r="F27">
        <v>26</v>
      </c>
      <c r="G27" s="27"/>
    </row>
    <row r="28" spans="1:7" hidden="1" x14ac:dyDescent="0.2">
      <c r="A28" t="s">
        <v>30</v>
      </c>
      <c r="C28">
        <v>52500</v>
      </c>
      <c r="D28">
        <v>2014</v>
      </c>
      <c r="E28" cm="1">
        <f t="array" aca="1" ref="E28" ca="1">SUMPRODUCT(SUBTOTAL(3,OFFSET($C$2:$C$288,ROW($C$2:$C$248)-MIN(ROW($C$2:$C$248)),0,1)),--(C28&lt;$C$2:$C$248))+1</f>
        <v>19</v>
      </c>
      <c r="F28">
        <v>27</v>
      </c>
      <c r="G28" s="27"/>
    </row>
    <row r="29" spans="1:7" x14ac:dyDescent="0.2">
      <c r="A29" s="19" t="s">
        <v>31</v>
      </c>
      <c r="C29" s="20">
        <v>51934</v>
      </c>
      <c r="D29" s="21">
        <v>2019</v>
      </c>
      <c r="E29" s="22" cm="1">
        <f t="array" aca="1" ref="E29" ca="1">SUMPRODUCT(SUBTOTAL(3,OFFSET($C$2:$C$288,ROW($C$2:$C$248)-MIN(ROW($C$2:$C$248)),0,1)),--(C29&lt;$C$2:$C$248))+1</f>
        <v>19</v>
      </c>
      <c r="F29">
        <v>28</v>
      </c>
      <c r="G29" s="27"/>
    </row>
    <row r="30" spans="1:7" hidden="1" x14ac:dyDescent="0.2">
      <c r="A30" t="s">
        <v>32</v>
      </c>
      <c r="C30">
        <v>50500</v>
      </c>
      <c r="D30">
        <v>2017</v>
      </c>
      <c r="E30" cm="1">
        <f t="array" aca="1" ref="E30" ca="1">SUMPRODUCT(SUBTOTAL(3,OFFSET($C$2:$C$288,ROW($C$2:$C$248)-MIN(ROW($C$2:$C$248)),0,1)),--(C30&lt;$C$2:$C$248))+1</f>
        <v>20</v>
      </c>
      <c r="F30">
        <v>29</v>
      </c>
      <c r="G30" s="27"/>
    </row>
    <row r="31" spans="1:7" hidden="1" x14ac:dyDescent="0.2">
      <c r="A31" t="s">
        <v>33</v>
      </c>
      <c r="C31">
        <v>49900</v>
      </c>
      <c r="D31">
        <v>2015</v>
      </c>
      <c r="E31" cm="1">
        <f t="array" aca="1" ref="E31" ca="1">SUMPRODUCT(SUBTOTAL(3,OFFSET($C$2:$C$288,ROW($C$2:$C$248)-MIN(ROW($C$2:$C$248)),0,1)),--(C31&lt;$C$2:$C$248))+1</f>
        <v>20</v>
      </c>
      <c r="F31">
        <v>30</v>
      </c>
      <c r="G31" s="27"/>
    </row>
    <row r="32" spans="1:7" x14ac:dyDescent="0.2">
      <c r="A32" s="11" t="s">
        <v>35</v>
      </c>
      <c r="C32" s="13">
        <v>49854</v>
      </c>
      <c r="D32" s="14">
        <v>2019</v>
      </c>
      <c r="E32" s="15" cm="1">
        <f t="array" aca="1" ref="E32" ca="1">SUMPRODUCT(SUBTOTAL(3,OFFSET($C$2:$C$288,ROW($C$2:$C$248)-MIN(ROW($C$2:$C$248)),0,1)),--(C32&lt;$C$2:$C$248))+1</f>
        <v>20</v>
      </c>
      <c r="F32">
        <v>32</v>
      </c>
      <c r="G32" s="27"/>
    </row>
    <row r="33" spans="1:7" x14ac:dyDescent="0.2">
      <c r="A33" s="12" t="s">
        <v>34</v>
      </c>
      <c r="C33" s="16">
        <v>49854</v>
      </c>
      <c r="D33" s="17">
        <v>2019</v>
      </c>
      <c r="E33" s="18" cm="1">
        <f t="array" aca="1" ref="E33" ca="1">SUMPRODUCT(SUBTOTAL(3,OFFSET($C$2:$C$288,ROW($C$2:$C$248)-MIN(ROW($C$2:$C$248)),0,1)),--(C33&lt;$C$2:$C$248))+1</f>
        <v>20</v>
      </c>
      <c r="F33">
        <v>31</v>
      </c>
      <c r="G33" s="27"/>
    </row>
    <row r="34" spans="1:7" hidden="1" x14ac:dyDescent="0.2">
      <c r="A34" t="s">
        <v>36</v>
      </c>
      <c r="C34" s="10">
        <v>49031</v>
      </c>
      <c r="D34">
        <v>2019</v>
      </c>
      <c r="E34" cm="1">
        <f t="array" aca="1" ref="E34" ca="1">SUMPRODUCT(SUBTOTAL(3,OFFSET($C$2:$C$288,ROW($C$2:$C$248)-MIN(ROW($C$2:$C$248)),0,1)),--(C34&lt;$C$2:$C$248))+1</f>
        <v>22</v>
      </c>
      <c r="F34">
        <v>33</v>
      </c>
      <c r="G34" s="27"/>
    </row>
    <row r="35" spans="1:7" hidden="1" x14ac:dyDescent="0.2">
      <c r="A35" t="s">
        <v>37</v>
      </c>
      <c r="C35" s="10">
        <v>48668</v>
      </c>
      <c r="D35">
        <v>2019</v>
      </c>
      <c r="E35" cm="1">
        <f t="array" aca="1" ref="E35" ca="1">SUMPRODUCT(SUBTOTAL(3,OFFSET($C$2:$C$288,ROW($C$2:$C$248)-MIN(ROW($C$2:$C$248)),0,1)),--(C35&lt;$C$2:$C$248))+1</f>
        <v>22</v>
      </c>
      <c r="F35">
        <v>34</v>
      </c>
      <c r="G35" s="27"/>
    </row>
    <row r="36" spans="1:7" hidden="1" x14ac:dyDescent="0.2">
      <c r="A36" t="s">
        <v>38</v>
      </c>
      <c r="C36" s="10">
        <v>46962</v>
      </c>
      <c r="D36">
        <v>2019</v>
      </c>
      <c r="E36" cm="1">
        <f t="array" aca="1" ref="E36" ca="1">SUMPRODUCT(SUBTOTAL(3,OFFSET($C$2:$C$288,ROW($C$2:$C$248)-MIN(ROW($C$2:$C$248)),0,1)),--(C36&lt;$C$2:$C$248))+1</f>
        <v>22</v>
      </c>
      <c r="F36">
        <v>35</v>
      </c>
      <c r="G36" s="27"/>
    </row>
    <row r="37" spans="1:7" hidden="1" x14ac:dyDescent="0.2">
      <c r="A37" t="s">
        <v>39</v>
      </c>
      <c r="C37" s="10">
        <v>46659</v>
      </c>
      <c r="D37">
        <v>2019</v>
      </c>
      <c r="E37" cm="1">
        <f t="array" aca="1" ref="E37" ca="1">SUMPRODUCT(SUBTOTAL(3,OFFSET($C$2:$C$288,ROW($C$2:$C$248)-MIN(ROW($C$2:$C$248)),0,1)),--(C37&lt;$C$2:$C$248))+1</f>
        <v>22</v>
      </c>
      <c r="F37">
        <v>36</v>
      </c>
      <c r="G37" s="27"/>
    </row>
    <row r="38" spans="1:7" hidden="1" x14ac:dyDescent="0.2">
      <c r="A38" t="s">
        <v>40</v>
      </c>
      <c r="C38">
        <v>46200</v>
      </c>
      <c r="D38">
        <v>2006</v>
      </c>
      <c r="E38" cm="1">
        <f t="array" aca="1" ref="E38" ca="1">SUMPRODUCT(SUBTOTAL(3,OFFSET($C$2:$C$288,ROW($C$2:$C$248)-MIN(ROW($C$2:$C$248)),0,1)),--(C38&lt;$C$2:$C$248))+1</f>
        <v>22</v>
      </c>
      <c r="F38">
        <v>37</v>
      </c>
      <c r="G38" s="27"/>
    </row>
    <row r="39" spans="1:7" hidden="1" x14ac:dyDescent="0.2">
      <c r="A39" t="s">
        <v>41</v>
      </c>
      <c r="C39" s="10">
        <v>46184</v>
      </c>
      <c r="D39">
        <v>2019</v>
      </c>
      <c r="E39" cm="1">
        <f t="array" aca="1" ref="E39" ca="1">SUMPRODUCT(SUBTOTAL(3,OFFSET($C$2:$C$288,ROW($C$2:$C$248)-MIN(ROW($C$2:$C$248)),0,1)),--(C39&lt;$C$2:$C$248))+1</f>
        <v>22</v>
      </c>
      <c r="F39">
        <v>38</v>
      </c>
      <c r="G39" s="27"/>
    </row>
    <row r="40" spans="1:7" hidden="1" x14ac:dyDescent="0.2">
      <c r="A40" t="s">
        <v>42</v>
      </c>
      <c r="C40" s="10">
        <v>45011</v>
      </c>
      <c r="D40">
        <v>2019</v>
      </c>
      <c r="E40" cm="1">
        <f t="array" aca="1" ref="E40" ca="1">SUMPRODUCT(SUBTOTAL(3,OFFSET($C$2:$C$288,ROW($C$2:$C$248)-MIN(ROW($C$2:$C$248)),0,1)),--(C40&lt;$C$2:$C$248))+1</f>
        <v>22</v>
      </c>
      <c r="F40">
        <v>39</v>
      </c>
      <c r="G40" s="27"/>
    </row>
    <row r="41" spans="1:7" hidden="1" x14ac:dyDescent="0.2">
      <c r="A41" t="s">
        <v>44</v>
      </c>
      <c r="C41" s="10">
        <v>44032</v>
      </c>
      <c r="D41">
        <v>2019</v>
      </c>
      <c r="E41" cm="1">
        <f t="array" aca="1" ref="E41" ca="1">SUMPRODUCT(SUBTOTAL(3,OFFSET($C$2:$C$288,ROW($C$2:$C$248)-MIN(ROW($C$2:$C$248)),0,1)),--(C41&lt;$C$2:$C$248))+1</f>
        <v>22</v>
      </c>
      <c r="F41">
        <v>41</v>
      </c>
      <c r="G41" s="27"/>
    </row>
    <row r="42" spans="1:7" hidden="1" x14ac:dyDescent="0.2">
      <c r="A42" t="s">
        <v>45</v>
      </c>
      <c r="C42" s="10">
        <v>42888</v>
      </c>
      <c r="D42">
        <v>2019</v>
      </c>
      <c r="E42" cm="1">
        <f t="array" aca="1" ref="E42" ca="1">SUMPRODUCT(SUBTOTAL(3,OFFSET($C$2:$C$288,ROW($C$2:$C$248)-MIN(ROW($C$2:$C$248)),0,1)),--(C42&lt;$C$2:$C$248))+1</f>
        <v>22</v>
      </c>
      <c r="F42">
        <v>42</v>
      </c>
      <c r="G42" s="27"/>
    </row>
    <row r="43" spans="1:7" hidden="1" x14ac:dyDescent="0.2">
      <c r="A43" t="s">
        <v>46</v>
      </c>
      <c r="C43" s="10">
        <v>42765</v>
      </c>
      <c r="D43">
        <v>2019</v>
      </c>
      <c r="E43" cm="1">
        <f t="array" aca="1" ref="E43" ca="1">SUMPRODUCT(SUBTOTAL(3,OFFSET($C$2:$C$288,ROW($C$2:$C$248)-MIN(ROW($C$2:$C$248)),0,1)),--(C43&lt;$C$2:$C$248))+1</f>
        <v>22</v>
      </c>
      <c r="F43">
        <v>43</v>
      </c>
      <c r="G43" s="27"/>
    </row>
    <row r="44" spans="1:7" hidden="1" x14ac:dyDescent="0.2">
      <c r="A44" t="s">
        <v>47</v>
      </c>
      <c r="C44" s="10">
        <v>42492</v>
      </c>
      <c r="D44">
        <v>2019</v>
      </c>
      <c r="E44" cm="1">
        <f t="array" aca="1" ref="E44" ca="1">SUMPRODUCT(SUBTOTAL(3,OFFSET($C$2:$C$288,ROW($C$2:$C$248)-MIN(ROW($C$2:$C$248)),0,1)),--(C44&lt;$C$2:$C$248))+1</f>
        <v>22</v>
      </c>
      <c r="F44">
        <v>44</v>
      </c>
      <c r="G44" s="27"/>
    </row>
    <row r="45" spans="1:7" hidden="1" x14ac:dyDescent="0.2">
      <c r="A45" t="s">
        <v>48</v>
      </c>
      <c r="C45">
        <v>41800</v>
      </c>
      <c r="D45">
        <v>2015</v>
      </c>
      <c r="E45" cm="1">
        <f t="array" aca="1" ref="E45" ca="1">SUMPRODUCT(SUBTOTAL(3,OFFSET($C$2:$C$288,ROW($C$2:$C$248)-MIN(ROW($C$2:$C$248)),0,1)),--(C45&lt;$C$2:$C$248))+1</f>
        <v>22</v>
      </c>
      <c r="F45">
        <v>45</v>
      </c>
      <c r="G45" s="27"/>
    </row>
    <row r="46" spans="1:7" hidden="1" x14ac:dyDescent="0.2">
      <c r="A46" t="s">
        <v>49</v>
      </c>
      <c r="C46" s="10">
        <v>41429</v>
      </c>
      <c r="D46">
        <v>2019</v>
      </c>
      <c r="E46" cm="1">
        <f t="array" aca="1" ref="E46" ca="1">SUMPRODUCT(SUBTOTAL(3,OFFSET($C$2:$C$288,ROW($C$2:$C$248)-MIN(ROW($C$2:$C$248)),0,1)),--(C46&lt;$C$2:$C$248))+1</f>
        <v>22</v>
      </c>
      <c r="F46">
        <v>46</v>
      </c>
      <c r="G46" s="27"/>
    </row>
    <row r="47" spans="1:7" hidden="1" x14ac:dyDescent="0.2">
      <c r="A47" t="s">
        <v>50</v>
      </c>
      <c r="C47" s="10">
        <v>40903</v>
      </c>
      <c r="D47">
        <v>2019</v>
      </c>
      <c r="E47" cm="1">
        <f t="array" aca="1" ref="E47" ca="1">SUMPRODUCT(SUBTOTAL(3,OFFSET($C$2:$C$288,ROW($C$2:$C$248)-MIN(ROW($C$2:$C$248)),0,1)),--(C47&lt;$C$2:$C$248))+1</f>
        <v>22</v>
      </c>
      <c r="F47">
        <v>47</v>
      </c>
      <c r="G47" s="27"/>
    </row>
    <row r="48" spans="1:7" hidden="1" x14ac:dyDescent="0.2">
      <c r="A48" t="s">
        <v>51</v>
      </c>
      <c r="C48" s="10">
        <v>40862</v>
      </c>
      <c r="D48">
        <v>2019</v>
      </c>
      <c r="E48" cm="1">
        <f t="array" aca="1" ref="E48" ca="1">SUMPRODUCT(SUBTOTAL(3,OFFSET($C$2:$C$288,ROW($C$2:$C$248)-MIN(ROW($C$2:$C$248)),0,1)),--(C48&lt;$C$2:$C$248))+1</f>
        <v>22</v>
      </c>
      <c r="F48">
        <v>48</v>
      </c>
      <c r="G48" s="27"/>
    </row>
    <row r="49" spans="1:7" hidden="1" x14ac:dyDescent="0.2">
      <c r="A49" t="s">
        <v>52</v>
      </c>
      <c r="C49" s="10">
        <v>40145</v>
      </c>
      <c r="D49">
        <v>2019</v>
      </c>
      <c r="E49" cm="1">
        <f t="array" aca="1" ref="E49" ca="1">SUMPRODUCT(SUBTOTAL(3,OFFSET($C$2:$C$288,ROW($C$2:$C$248)-MIN(ROW($C$2:$C$248)),0,1)),--(C49&lt;$C$2:$C$248))+1</f>
        <v>22</v>
      </c>
      <c r="F49">
        <v>49</v>
      </c>
      <c r="G49" s="27"/>
    </row>
    <row r="50" spans="1:7" hidden="1" x14ac:dyDescent="0.2">
      <c r="A50" t="s">
        <v>53</v>
      </c>
      <c r="C50">
        <v>40000</v>
      </c>
      <c r="D50">
        <v>2014</v>
      </c>
      <c r="E50" cm="1">
        <f t="array" aca="1" ref="E50" ca="1">SUMPRODUCT(SUBTOTAL(3,OFFSET($C$2:$C$288,ROW($C$2:$C$248)-MIN(ROW($C$2:$C$248)),0,1)),--(C50&lt;$C$2:$C$248))+1</f>
        <v>22</v>
      </c>
      <c r="F50">
        <v>50</v>
      </c>
      <c r="G50" s="27"/>
    </row>
    <row r="51" spans="1:7" hidden="1" x14ac:dyDescent="0.2">
      <c r="A51" t="s">
        <v>54</v>
      </c>
      <c r="C51" s="10">
        <v>39545</v>
      </c>
      <c r="D51">
        <v>2019</v>
      </c>
      <c r="E51" cm="1">
        <f t="array" aca="1" ref="E51" ca="1">SUMPRODUCT(SUBTOTAL(3,OFFSET($C$2:$C$288,ROW($C$2:$C$248)-MIN(ROW($C$2:$C$248)),0,1)),--(C51&lt;$C$2:$C$248))+1</f>
        <v>22</v>
      </c>
      <c r="F51">
        <v>51</v>
      </c>
      <c r="G51" s="27"/>
    </row>
    <row r="52" spans="1:7" hidden="1" x14ac:dyDescent="0.2">
      <c r="A52" t="s">
        <v>55</v>
      </c>
      <c r="C52" s="10">
        <v>39088</v>
      </c>
      <c r="D52">
        <v>2019</v>
      </c>
      <c r="E52" cm="1">
        <f t="array" aca="1" ref="E52" ca="1">SUMPRODUCT(SUBTOTAL(3,OFFSET($C$2:$C$288,ROW($C$2:$C$248)-MIN(ROW($C$2:$C$248)),0,1)),--(C52&lt;$C$2:$C$248))+1</f>
        <v>22</v>
      </c>
      <c r="F52">
        <v>52</v>
      </c>
      <c r="G52" s="27"/>
    </row>
    <row r="53" spans="1:7" hidden="1" x14ac:dyDescent="0.2">
      <c r="A53" t="s">
        <v>56</v>
      </c>
      <c r="C53">
        <v>37500</v>
      </c>
      <c r="D53">
        <v>2017</v>
      </c>
      <c r="E53" cm="1">
        <f t="array" aca="1" ref="E53" ca="1">SUMPRODUCT(SUBTOTAL(3,OFFSET($C$2:$C$288,ROW($C$2:$C$248)-MIN(ROW($C$2:$C$248)),0,1)),--(C53&lt;$C$2:$C$248))+1</f>
        <v>22</v>
      </c>
      <c r="F53">
        <v>53</v>
      </c>
      <c r="G53" s="27"/>
    </row>
    <row r="54" spans="1:7" hidden="1" x14ac:dyDescent="0.2">
      <c r="A54" t="s">
        <v>57</v>
      </c>
      <c r="C54" s="10">
        <v>37231</v>
      </c>
      <c r="D54">
        <v>2019</v>
      </c>
      <c r="E54" cm="1">
        <f t="array" aca="1" ref="E54" ca="1">SUMPRODUCT(SUBTOTAL(3,OFFSET($C$2:$C$288,ROW($C$2:$C$248)-MIN(ROW($C$2:$C$248)),0,1)),--(C54&lt;$C$2:$C$248))+1</f>
        <v>22</v>
      </c>
      <c r="F54">
        <v>54</v>
      </c>
      <c r="G54" s="27"/>
    </row>
    <row r="55" spans="1:7" hidden="1" x14ac:dyDescent="0.2">
      <c r="A55" t="s">
        <v>58</v>
      </c>
      <c r="C55" s="10">
        <v>37101</v>
      </c>
      <c r="D55">
        <v>2019</v>
      </c>
      <c r="E55" cm="1">
        <f t="array" aca="1" ref="E55" ca="1">SUMPRODUCT(SUBTOTAL(3,OFFSET($C$2:$C$288,ROW($C$2:$C$248)-MIN(ROW($C$2:$C$248)),0,1)),--(C55&lt;$C$2:$C$248))+1</f>
        <v>22</v>
      </c>
      <c r="F55">
        <v>55</v>
      </c>
      <c r="G55" s="27"/>
    </row>
    <row r="56" spans="1:7" hidden="1" x14ac:dyDescent="0.2">
      <c r="A56" t="s">
        <v>59</v>
      </c>
      <c r="C56">
        <v>37000</v>
      </c>
      <c r="D56">
        <v>2016</v>
      </c>
      <c r="E56" cm="1">
        <f t="array" aca="1" ref="E56" ca="1">SUMPRODUCT(SUBTOTAL(3,OFFSET($C$2:$C$288,ROW($C$2:$C$248)-MIN(ROW($C$2:$C$248)),0,1)),--(C56&lt;$C$2:$C$248))+1</f>
        <v>22</v>
      </c>
      <c r="F56">
        <v>56</v>
      </c>
      <c r="G56" s="27"/>
    </row>
    <row r="57" spans="1:7" hidden="1" x14ac:dyDescent="0.2">
      <c r="A57" t="s">
        <v>60</v>
      </c>
      <c r="C57" s="10">
        <v>36927</v>
      </c>
      <c r="D57">
        <v>2019</v>
      </c>
      <c r="E57" cm="1">
        <f t="array" aca="1" ref="E57" ca="1">SUMPRODUCT(SUBTOTAL(3,OFFSET($C$2:$C$288,ROW($C$2:$C$248)-MIN(ROW($C$2:$C$248)),0,1)),--(C57&lt;$C$2:$C$248))+1</f>
        <v>22</v>
      </c>
      <c r="F57">
        <v>57</v>
      </c>
      <c r="G57" s="27"/>
    </row>
    <row r="58" spans="1:7" hidden="1" x14ac:dyDescent="0.2">
      <c r="A58" t="s">
        <v>61</v>
      </c>
      <c r="C58">
        <v>35600</v>
      </c>
      <c r="D58">
        <v>2016</v>
      </c>
      <c r="E58" cm="1">
        <f t="array" aca="1" ref="E58" ca="1">SUMPRODUCT(SUBTOTAL(3,OFFSET($C$2:$C$288,ROW($C$2:$C$248)-MIN(ROW($C$2:$C$248)),0,1)),--(C58&lt;$C$2:$C$248))+1</f>
        <v>22</v>
      </c>
      <c r="F58">
        <v>58</v>
      </c>
      <c r="G58" s="27"/>
    </row>
    <row r="59" spans="1:7" hidden="1" x14ac:dyDescent="0.2">
      <c r="A59" t="s">
        <v>62</v>
      </c>
      <c r="C59">
        <v>35342</v>
      </c>
      <c r="D59">
        <v>2018</v>
      </c>
      <c r="E59" cm="1">
        <f t="array" aca="1" ref="E59" ca="1">SUMPRODUCT(SUBTOTAL(3,OFFSET($C$2:$C$288,ROW($C$2:$C$248)-MIN(ROW($C$2:$C$248)),0,1)),--(C59&lt;$C$2:$C$248))+1</f>
        <v>22</v>
      </c>
      <c r="F59">
        <v>59</v>
      </c>
      <c r="G59" s="27"/>
    </row>
    <row r="60" spans="1:7" hidden="1" x14ac:dyDescent="0.2">
      <c r="A60" t="s">
        <v>63</v>
      </c>
      <c r="C60" s="10">
        <v>34894</v>
      </c>
      <c r="D60">
        <v>2019</v>
      </c>
      <c r="E60" cm="1">
        <f t="array" aca="1" ref="E60" ca="1">SUMPRODUCT(SUBTOTAL(3,OFFSET($C$2:$C$288,ROW($C$2:$C$248)-MIN(ROW($C$2:$C$248)),0,1)),--(C60&lt;$C$2:$C$248))+1</f>
        <v>22</v>
      </c>
      <c r="F60">
        <v>60</v>
      </c>
      <c r="G60" s="27"/>
    </row>
    <row r="61" spans="1:7" hidden="1" x14ac:dyDescent="0.2">
      <c r="A61" t="s">
        <v>64</v>
      </c>
      <c r="C61" s="10">
        <v>34518</v>
      </c>
      <c r="D61">
        <v>2019</v>
      </c>
      <c r="E61" cm="1">
        <f t="array" aca="1" ref="E61" ca="1">SUMPRODUCT(SUBTOTAL(3,OFFSET($C$2:$C$288,ROW($C$2:$C$248)-MIN(ROW($C$2:$C$248)),0,1)),--(C61&lt;$C$2:$C$248))+1</f>
        <v>22</v>
      </c>
      <c r="F61">
        <v>61</v>
      </c>
      <c r="G61" s="27"/>
    </row>
    <row r="62" spans="1:7" hidden="1" x14ac:dyDescent="0.2">
      <c r="A62" t="s">
        <v>65</v>
      </c>
      <c r="C62">
        <v>34200</v>
      </c>
      <c r="D62">
        <v>2017</v>
      </c>
      <c r="E62" cm="1">
        <f t="array" aca="1" ref="E62" ca="1">SUMPRODUCT(SUBTOTAL(3,OFFSET($C$2:$C$288,ROW($C$2:$C$248)-MIN(ROW($C$2:$C$248)),0,1)),--(C62&lt;$C$2:$C$248))+1</f>
        <v>22</v>
      </c>
      <c r="F62">
        <v>62</v>
      </c>
      <c r="G62" s="27"/>
    </row>
    <row r="63" spans="1:7" hidden="1" x14ac:dyDescent="0.2">
      <c r="A63" t="s">
        <v>66</v>
      </c>
      <c r="C63" s="10">
        <v>33221</v>
      </c>
      <c r="D63">
        <v>2019</v>
      </c>
      <c r="E63" cm="1">
        <f t="array" aca="1" ref="E63" ca="1">SUMPRODUCT(SUBTOTAL(3,OFFSET($C$2:$C$288,ROW($C$2:$C$248)-MIN(ROW($C$2:$C$248)),0,1)),--(C63&lt;$C$2:$C$248))+1</f>
        <v>22</v>
      </c>
      <c r="F63">
        <v>63</v>
      </c>
      <c r="G63" s="27"/>
    </row>
    <row r="64" spans="1:7" hidden="1" x14ac:dyDescent="0.2">
      <c r="A64" t="s">
        <v>67</v>
      </c>
      <c r="C64" s="10">
        <v>32945</v>
      </c>
      <c r="D64">
        <v>2019</v>
      </c>
      <c r="E64" cm="1">
        <f t="array" aca="1" ref="E64" ca="1">SUMPRODUCT(SUBTOTAL(3,OFFSET($C$2:$C$288,ROW($C$2:$C$248)-MIN(ROW($C$2:$C$248)),0,1)),--(C64&lt;$C$2:$C$248))+1</f>
        <v>22</v>
      </c>
      <c r="F64">
        <v>64</v>
      </c>
      <c r="G64" s="27"/>
    </row>
    <row r="65" spans="1:7" hidden="1" x14ac:dyDescent="0.2">
      <c r="A65" t="s">
        <v>68</v>
      </c>
      <c r="C65" s="10">
        <v>32730</v>
      </c>
      <c r="D65">
        <v>2019</v>
      </c>
      <c r="E65" cm="1">
        <f t="array" aca="1" ref="E65" ca="1">SUMPRODUCT(SUBTOTAL(3,OFFSET($C$2:$C$288,ROW($C$2:$C$248)-MIN(ROW($C$2:$C$248)),0,1)),--(C65&lt;$C$2:$C$248))+1</f>
        <v>22</v>
      </c>
      <c r="F65">
        <v>65</v>
      </c>
      <c r="G65" s="27"/>
    </row>
    <row r="66" spans="1:7" hidden="1" x14ac:dyDescent="0.2">
      <c r="A66" t="s">
        <v>69</v>
      </c>
      <c r="C66" s="10">
        <v>31459</v>
      </c>
      <c r="D66">
        <v>2019</v>
      </c>
      <c r="E66" cm="1">
        <f t="array" aca="1" ref="E66" ca="1">SUMPRODUCT(SUBTOTAL(3,OFFSET($C$2:$C$288,ROW($C$2:$C$248)-MIN(ROW($C$2:$C$248)),0,1)),--(C66&lt;$C$2:$C$248))+1</f>
        <v>22</v>
      </c>
      <c r="F66">
        <v>66</v>
      </c>
      <c r="G66" s="27"/>
    </row>
    <row r="67" spans="1:7" hidden="1" x14ac:dyDescent="0.2">
      <c r="A67" t="s">
        <v>70</v>
      </c>
      <c r="C67">
        <v>31100</v>
      </c>
      <c r="D67">
        <v>2015</v>
      </c>
      <c r="E67" cm="1">
        <f t="array" aca="1" ref="E67" ca="1">SUMPRODUCT(SUBTOTAL(3,OFFSET($C$2:$C$288,ROW($C$2:$C$248)-MIN(ROW($C$2:$C$248)),0,1)),--(C67&lt;$C$2:$C$248))+1</f>
        <v>22</v>
      </c>
      <c r="F67">
        <v>67</v>
      </c>
      <c r="G67" s="27"/>
    </row>
    <row r="68" spans="1:7" hidden="1" x14ac:dyDescent="0.2">
      <c r="A68" t="s">
        <v>71</v>
      </c>
      <c r="C68" s="10">
        <v>30898</v>
      </c>
      <c r="D68">
        <v>2019</v>
      </c>
      <c r="E68" cm="1">
        <f t="array" aca="1" ref="E68" ca="1">SUMPRODUCT(SUBTOTAL(3,OFFSET($C$2:$C$288,ROW($C$2:$C$248)-MIN(ROW($C$2:$C$248)),0,1)),--(C68&lt;$C$2:$C$248))+1</f>
        <v>22</v>
      </c>
      <c r="F68">
        <v>68</v>
      </c>
      <c r="G68" s="27"/>
    </row>
    <row r="69" spans="1:7" hidden="1" x14ac:dyDescent="0.2">
      <c r="A69" t="s">
        <v>72</v>
      </c>
      <c r="C69" s="10">
        <v>29941</v>
      </c>
      <c r="D69">
        <v>2019</v>
      </c>
      <c r="E69" cm="1">
        <f t="array" aca="1" ref="E69" ca="1">SUMPRODUCT(SUBTOTAL(3,OFFSET($C$2:$C$288,ROW($C$2:$C$248)-MIN(ROW($C$2:$C$248)),0,1)),--(C69&lt;$C$2:$C$248))+1</f>
        <v>22</v>
      </c>
      <c r="F69">
        <v>69</v>
      </c>
      <c r="G69" s="27"/>
    </row>
    <row r="70" spans="1:7" hidden="1" x14ac:dyDescent="0.2">
      <c r="A70" t="s">
        <v>73</v>
      </c>
      <c r="C70" s="10">
        <v>29799</v>
      </c>
      <c r="D70">
        <v>2019</v>
      </c>
      <c r="E70" cm="1">
        <f t="array" aca="1" ref="E70" ca="1">SUMPRODUCT(SUBTOTAL(3,OFFSET($C$2:$C$288,ROW($C$2:$C$248)-MIN(ROW($C$2:$C$248)),0,1)),--(C70&lt;$C$2:$C$248))+1</f>
        <v>22</v>
      </c>
      <c r="F70">
        <v>70</v>
      </c>
      <c r="G70" s="27"/>
    </row>
    <row r="71" spans="1:7" hidden="1" x14ac:dyDescent="0.2">
      <c r="A71" t="s">
        <v>74</v>
      </c>
      <c r="C71" s="10">
        <v>29253</v>
      </c>
      <c r="D71">
        <v>2019</v>
      </c>
      <c r="E71" cm="1">
        <f t="array" aca="1" ref="E71" ca="1">SUMPRODUCT(SUBTOTAL(3,OFFSET($C$2:$C$288,ROW($C$2:$C$248)-MIN(ROW($C$2:$C$248)),0,1)),--(C71&lt;$C$2:$C$248))+1</f>
        <v>22</v>
      </c>
      <c r="F71">
        <v>71</v>
      </c>
      <c r="G71" s="27"/>
    </row>
    <row r="72" spans="1:7" hidden="1" x14ac:dyDescent="0.2">
      <c r="A72" t="s">
        <v>75</v>
      </c>
      <c r="C72" s="10">
        <v>29223</v>
      </c>
      <c r="D72">
        <v>2019</v>
      </c>
      <c r="E72" cm="1">
        <f t="array" aca="1" ref="E72" ca="1">SUMPRODUCT(SUBTOTAL(3,OFFSET($C$2:$C$288,ROW($C$2:$C$248)-MIN(ROW($C$2:$C$248)),0,1)),--(C72&lt;$C$2:$C$248))+1</f>
        <v>22</v>
      </c>
      <c r="F72">
        <v>72</v>
      </c>
      <c r="G72" s="27"/>
    </row>
    <row r="73" spans="1:7" hidden="1" x14ac:dyDescent="0.2">
      <c r="A73" t="s">
        <v>76</v>
      </c>
      <c r="C73" s="10">
        <v>28602</v>
      </c>
      <c r="D73">
        <v>2019</v>
      </c>
      <c r="E73" cm="1">
        <f t="array" aca="1" ref="E73" ca="1">SUMPRODUCT(SUBTOTAL(3,OFFSET($C$2:$C$288,ROW($C$2:$C$248)-MIN(ROW($C$2:$C$248)),0,1)),--(C73&lt;$C$2:$C$248))+1</f>
        <v>22</v>
      </c>
      <c r="F73">
        <v>73</v>
      </c>
      <c r="G73" s="27"/>
    </row>
    <row r="74" spans="1:7" hidden="1" x14ac:dyDescent="0.2">
      <c r="A74" t="s">
        <v>77</v>
      </c>
      <c r="C74" s="10">
        <v>28424</v>
      </c>
      <c r="D74">
        <v>2019</v>
      </c>
      <c r="E74" cm="1">
        <f t="array" aca="1" ref="E74" ca="1">SUMPRODUCT(SUBTOTAL(3,OFFSET($C$2:$C$288,ROW($C$2:$C$248)-MIN(ROW($C$2:$C$248)),0,1)),--(C74&lt;$C$2:$C$248))+1</f>
        <v>22</v>
      </c>
      <c r="F74">
        <v>74</v>
      </c>
      <c r="G74" s="27"/>
    </row>
    <row r="75" spans="1:7" hidden="1" x14ac:dyDescent="0.2">
      <c r="A75" t="s">
        <v>78</v>
      </c>
      <c r="C75" s="10">
        <v>28364</v>
      </c>
      <c r="D75">
        <v>2019</v>
      </c>
      <c r="E75" cm="1">
        <f t="array" aca="1" ref="E75" ca="1">SUMPRODUCT(SUBTOTAL(3,OFFSET($C$2:$C$288,ROW($C$2:$C$248)-MIN(ROW($C$2:$C$248)),0,1)),--(C75&lt;$C$2:$C$248))+1</f>
        <v>22</v>
      </c>
      <c r="F75">
        <v>75</v>
      </c>
      <c r="G75" s="27"/>
    </row>
    <row r="76" spans="1:7" hidden="1" x14ac:dyDescent="0.2">
      <c r="A76" t="s">
        <v>79</v>
      </c>
      <c r="C76" s="10">
        <v>27299</v>
      </c>
      <c r="D76">
        <v>2019</v>
      </c>
      <c r="E76" cm="1">
        <f t="array" aca="1" ref="E76" ca="1">SUMPRODUCT(SUBTOTAL(3,OFFSET($C$2:$C$288,ROW($C$2:$C$248)-MIN(ROW($C$2:$C$248)),0,1)),--(C76&lt;$C$2:$C$248))+1</f>
        <v>22</v>
      </c>
      <c r="F76">
        <v>76</v>
      </c>
      <c r="G76" s="27"/>
    </row>
    <row r="77" spans="1:7" hidden="1" x14ac:dyDescent="0.2">
      <c r="A77" t="s">
        <v>80</v>
      </c>
      <c r="C77" s="10">
        <v>27044</v>
      </c>
      <c r="D77">
        <v>2019</v>
      </c>
      <c r="E77" cm="1">
        <f t="array" aca="1" ref="E77" ca="1">SUMPRODUCT(SUBTOTAL(3,OFFSET($C$2:$C$288,ROW($C$2:$C$248)-MIN(ROW($C$2:$C$248)),0,1)),--(C77&lt;$C$2:$C$248))+1</f>
        <v>22</v>
      </c>
      <c r="F77">
        <v>77</v>
      </c>
      <c r="G77" s="27"/>
    </row>
    <row r="78" spans="1:7" hidden="1" x14ac:dyDescent="0.2">
      <c r="A78" t="s">
        <v>81</v>
      </c>
      <c r="C78" s="10">
        <v>26438</v>
      </c>
      <c r="D78">
        <v>2019</v>
      </c>
      <c r="E78" cm="1">
        <f t="array" aca="1" ref="E78" ca="1">SUMPRODUCT(SUBTOTAL(3,OFFSET($C$2:$C$288,ROW($C$2:$C$248)-MIN(ROW($C$2:$C$248)),0,1)),--(C78&lt;$C$2:$C$248))+1</f>
        <v>22</v>
      </c>
      <c r="F78">
        <v>78</v>
      </c>
      <c r="G78" s="27"/>
    </row>
    <row r="79" spans="1:7" hidden="1" x14ac:dyDescent="0.2">
      <c r="A79" t="s">
        <v>82</v>
      </c>
      <c r="C79" s="10">
        <v>26351</v>
      </c>
      <c r="D79">
        <v>2019</v>
      </c>
      <c r="E79" cm="1">
        <f t="array" aca="1" ref="E79" ca="1">SUMPRODUCT(SUBTOTAL(3,OFFSET($C$2:$C$288,ROW($C$2:$C$248)-MIN(ROW($C$2:$C$248)),0,1)),--(C79&lt;$C$2:$C$248))+1</f>
        <v>22</v>
      </c>
      <c r="F79">
        <v>79</v>
      </c>
      <c r="G79" s="27"/>
    </row>
    <row r="80" spans="1:7" hidden="1" x14ac:dyDescent="0.2">
      <c r="A80" t="s">
        <v>83</v>
      </c>
      <c r="C80" s="10">
        <v>26176</v>
      </c>
      <c r="D80">
        <v>2019</v>
      </c>
      <c r="E80" cm="1">
        <f t="array" aca="1" ref="E80" ca="1">SUMPRODUCT(SUBTOTAL(3,OFFSET($C$2:$C$288,ROW($C$2:$C$248)-MIN(ROW($C$2:$C$248)),0,1)),--(C80&lt;$C$2:$C$248))+1</f>
        <v>22</v>
      </c>
      <c r="F80">
        <v>80</v>
      </c>
      <c r="G80" s="27"/>
    </row>
    <row r="81" spans="1:7" hidden="1" x14ac:dyDescent="0.2">
      <c r="A81" t="s">
        <v>84</v>
      </c>
      <c r="C81">
        <v>24500</v>
      </c>
      <c r="D81">
        <v>2016</v>
      </c>
      <c r="E81" cm="1">
        <f t="array" aca="1" ref="E81" ca="1">SUMPRODUCT(SUBTOTAL(3,OFFSET($C$2:$C$288,ROW($C$2:$C$248)-MIN(ROW($C$2:$C$248)),0,1)),--(C81&lt;$C$2:$C$248))+1</f>
        <v>22</v>
      </c>
      <c r="F81">
        <v>81</v>
      </c>
      <c r="G81" s="27"/>
    </row>
    <row r="82" spans="1:7" hidden="1" x14ac:dyDescent="0.2">
      <c r="A82" t="s">
        <v>85</v>
      </c>
      <c r="C82" s="10">
        <v>24479</v>
      </c>
      <c r="D82">
        <v>2019</v>
      </c>
      <c r="E82" cm="1">
        <f t="array" aca="1" ref="E82" ca="1">SUMPRODUCT(SUBTOTAL(3,OFFSET($C$2:$C$288,ROW($C$2:$C$248)-MIN(ROW($C$2:$C$248)),0,1)),--(C82&lt;$C$2:$C$248))+1</f>
        <v>22</v>
      </c>
      <c r="F82">
        <v>82</v>
      </c>
      <c r="G82" s="27"/>
    </row>
    <row r="83" spans="1:7" hidden="1" x14ac:dyDescent="0.2">
      <c r="A83" t="s">
        <v>86</v>
      </c>
      <c r="C83" s="10">
        <v>24226</v>
      </c>
      <c r="D83">
        <v>2019</v>
      </c>
      <c r="E83" cm="1">
        <f t="array" aca="1" ref="E83" ca="1">SUMPRODUCT(SUBTOTAL(3,OFFSET($C$2:$C$288,ROW($C$2:$C$248)-MIN(ROW($C$2:$C$248)),0,1)),--(C83&lt;$C$2:$C$248))+1</f>
        <v>22</v>
      </c>
      <c r="F83">
        <v>83</v>
      </c>
      <c r="G83" s="27"/>
    </row>
    <row r="84" spans="1:7" hidden="1" x14ac:dyDescent="0.2">
      <c r="A84" t="s">
        <v>87</v>
      </c>
      <c r="C84" s="10">
        <v>23174</v>
      </c>
      <c r="D84">
        <v>2019</v>
      </c>
      <c r="E84" cm="1">
        <f t="array" aca="1" ref="E84" ca="1">SUMPRODUCT(SUBTOTAL(3,OFFSET($C$2:$C$288,ROW($C$2:$C$248)-MIN(ROW($C$2:$C$248)),0,1)),--(C84&lt;$C$2:$C$248))+1</f>
        <v>22</v>
      </c>
      <c r="F84">
        <v>84</v>
      </c>
      <c r="G84" s="27"/>
    </row>
    <row r="85" spans="1:7" hidden="1" x14ac:dyDescent="0.2">
      <c r="A85" t="s">
        <v>88</v>
      </c>
      <c r="C85" s="10">
        <v>22870</v>
      </c>
      <c r="D85">
        <v>2019</v>
      </c>
      <c r="E85" cm="1">
        <f t="array" aca="1" ref="E85" ca="1">SUMPRODUCT(SUBTOTAL(3,OFFSET($C$2:$C$288,ROW($C$2:$C$248)-MIN(ROW($C$2:$C$248)),0,1)),--(C85&lt;$C$2:$C$248))+1</f>
        <v>22</v>
      </c>
      <c r="F85">
        <v>85</v>
      </c>
      <c r="G85" s="27"/>
    </row>
    <row r="86" spans="1:7" hidden="1" x14ac:dyDescent="0.2">
      <c r="A86" t="s">
        <v>89</v>
      </c>
      <c r="C86" s="10">
        <v>22064</v>
      </c>
      <c r="D86">
        <v>2019</v>
      </c>
      <c r="E86" cm="1">
        <f t="array" aca="1" ref="E86" ca="1">SUMPRODUCT(SUBTOTAL(3,OFFSET($C$2:$C$288,ROW($C$2:$C$248)-MIN(ROW($C$2:$C$248)),0,1)),--(C86&lt;$C$2:$C$248))+1</f>
        <v>22</v>
      </c>
      <c r="F86">
        <v>86</v>
      </c>
      <c r="G86" s="27"/>
    </row>
    <row r="87" spans="1:7" hidden="1" x14ac:dyDescent="0.2">
      <c r="A87" t="s">
        <v>90</v>
      </c>
      <c r="C87" s="10">
        <v>21910</v>
      </c>
      <c r="D87">
        <v>2019</v>
      </c>
      <c r="E87" cm="1">
        <f t="array" aca="1" ref="E87" ca="1">SUMPRODUCT(SUBTOTAL(3,OFFSET($C$2:$C$288,ROW($C$2:$C$248)-MIN(ROW($C$2:$C$248)),0,1)),--(C87&lt;$C$2:$C$248))+1</f>
        <v>22</v>
      </c>
      <c r="F87">
        <v>87</v>
      </c>
      <c r="G87" s="27"/>
    </row>
    <row r="88" spans="1:7" hidden="1" x14ac:dyDescent="0.2">
      <c r="A88" t="s">
        <v>91</v>
      </c>
      <c r="C88" s="10">
        <v>21561</v>
      </c>
      <c r="D88">
        <v>2019</v>
      </c>
      <c r="E88" cm="1">
        <f t="array" aca="1" ref="E88" ca="1">SUMPRODUCT(SUBTOTAL(3,OFFSET($C$2:$C$288,ROW($C$2:$C$248)-MIN(ROW($C$2:$C$248)),0,1)),--(C88&lt;$C$2:$C$248))+1</f>
        <v>22</v>
      </c>
      <c r="F88">
        <v>88</v>
      </c>
      <c r="G88" s="27"/>
    </row>
    <row r="89" spans="1:7" hidden="1" x14ac:dyDescent="0.2">
      <c r="A89" t="s">
        <v>92</v>
      </c>
      <c r="C89" s="10">
        <v>21470</v>
      </c>
      <c r="D89">
        <v>2019</v>
      </c>
      <c r="E89" cm="1">
        <f t="array" aca="1" ref="E89" ca="1">SUMPRODUCT(SUBTOTAL(3,OFFSET($C$2:$C$288,ROW($C$2:$C$248)-MIN(ROW($C$2:$C$248)),0,1)),--(C89&lt;$C$2:$C$248))+1</f>
        <v>22</v>
      </c>
      <c r="F89">
        <v>89</v>
      </c>
      <c r="G89" s="27"/>
    </row>
    <row r="90" spans="1:7" hidden="1" x14ac:dyDescent="0.2">
      <c r="A90" t="s">
        <v>93</v>
      </c>
      <c r="C90" s="10">
        <v>19796</v>
      </c>
      <c r="D90">
        <v>2019</v>
      </c>
      <c r="E90" cm="1">
        <f t="array" aca="1" ref="E90" ca="1">SUMPRODUCT(SUBTOTAL(3,OFFSET($C$2:$C$288,ROW($C$2:$C$248)-MIN(ROW($C$2:$C$248)),0,1)),--(C90&lt;$C$2:$C$248))+1</f>
        <v>22</v>
      </c>
      <c r="F90">
        <v>90</v>
      </c>
      <c r="G90" s="27"/>
    </row>
    <row r="91" spans="1:7" hidden="1" x14ac:dyDescent="0.2">
      <c r="A91" t="s">
        <v>94</v>
      </c>
      <c r="C91" s="10">
        <v>19642</v>
      </c>
      <c r="D91">
        <v>2019</v>
      </c>
      <c r="E91" cm="1">
        <f t="array" aca="1" ref="E91" ca="1">SUMPRODUCT(SUBTOTAL(3,OFFSET($C$2:$C$288,ROW($C$2:$C$248)-MIN(ROW($C$2:$C$248)),0,1)),--(C91&lt;$C$2:$C$248))+1</f>
        <v>22</v>
      </c>
      <c r="F91">
        <v>91</v>
      </c>
      <c r="G91" s="27"/>
    </row>
    <row r="92" spans="1:7" hidden="1" x14ac:dyDescent="0.2">
      <c r="A92" t="s">
        <v>95</v>
      </c>
      <c r="C92" s="10">
        <v>19531</v>
      </c>
      <c r="D92">
        <v>2019</v>
      </c>
      <c r="E92" cm="1">
        <f t="array" aca="1" ref="E92" ca="1">SUMPRODUCT(SUBTOTAL(3,OFFSET($C$2:$C$288,ROW($C$2:$C$248)-MIN(ROW($C$2:$C$248)),0,1)),--(C92&lt;$C$2:$C$248))+1</f>
        <v>22</v>
      </c>
      <c r="F92">
        <v>92</v>
      </c>
      <c r="G92" s="27"/>
    </row>
    <row r="93" spans="1:7" hidden="1" x14ac:dyDescent="0.2">
      <c r="A93" t="s">
        <v>96</v>
      </c>
      <c r="C93">
        <v>19300</v>
      </c>
      <c r="D93">
        <v>2005</v>
      </c>
      <c r="E93" cm="1">
        <f t="array" aca="1" ref="E93" ca="1">SUMPRODUCT(SUBTOTAL(3,OFFSET($C$2:$C$288,ROW($C$2:$C$248)-MIN(ROW($C$2:$C$248)),0,1)),--(C93&lt;$C$2:$C$248))+1</f>
        <v>22</v>
      </c>
      <c r="F93">
        <v>93</v>
      </c>
      <c r="G93" s="27"/>
    </row>
    <row r="94" spans="1:7" hidden="1" x14ac:dyDescent="0.2">
      <c r="A94" t="s">
        <v>97</v>
      </c>
      <c r="C94" s="10">
        <v>19150</v>
      </c>
      <c r="D94">
        <v>2019</v>
      </c>
      <c r="E94" cm="1">
        <f t="array" aca="1" ref="E94" ca="1">SUMPRODUCT(SUBTOTAL(3,OFFSET($C$2:$C$288,ROW($C$2:$C$248)-MIN(ROW($C$2:$C$248)),0,1)),--(C94&lt;$C$2:$C$248))+1</f>
        <v>22</v>
      </c>
      <c r="F94">
        <v>94</v>
      </c>
      <c r="G94" s="27"/>
    </row>
    <row r="95" spans="1:7" hidden="1" x14ac:dyDescent="0.2">
      <c r="A95" t="s">
        <v>98</v>
      </c>
      <c r="C95" s="10">
        <v>18558</v>
      </c>
      <c r="D95">
        <v>2019</v>
      </c>
      <c r="E95" cm="1">
        <f t="array" aca="1" ref="E95" ca="1">SUMPRODUCT(SUBTOTAL(3,OFFSET($C$2:$C$288,ROW($C$2:$C$248)-MIN(ROW($C$2:$C$248)),0,1)),--(C95&lt;$C$2:$C$248))+1</f>
        <v>22</v>
      </c>
      <c r="F95">
        <v>95</v>
      </c>
      <c r="G95" s="27"/>
    </row>
    <row r="96" spans="1:7" hidden="1" x14ac:dyDescent="0.2">
      <c r="A96" t="s">
        <v>99</v>
      </c>
      <c r="C96" s="10">
        <v>18460</v>
      </c>
      <c r="D96">
        <v>2019</v>
      </c>
      <c r="E96" cm="1">
        <f t="array" aca="1" ref="E96" ca="1">SUMPRODUCT(SUBTOTAL(3,OFFSET($C$2:$C$288,ROW($C$2:$C$248)-MIN(ROW($C$2:$C$248)),0,1)),--(C96&lt;$C$2:$C$248))+1</f>
        <v>22</v>
      </c>
      <c r="F96">
        <v>96</v>
      </c>
      <c r="G96" s="27"/>
    </row>
    <row r="97" spans="1:7" hidden="1" x14ac:dyDescent="0.2">
      <c r="A97" t="s">
        <v>100</v>
      </c>
      <c r="C97" s="10">
        <v>18413</v>
      </c>
      <c r="D97">
        <v>2019</v>
      </c>
      <c r="E97" cm="1">
        <f t="array" aca="1" ref="E97" ca="1">SUMPRODUCT(SUBTOTAL(3,OFFSET($C$2:$C$288,ROW($C$2:$C$248)-MIN(ROW($C$2:$C$248)),0,1)),--(C97&lt;$C$2:$C$248))+1</f>
        <v>22</v>
      </c>
      <c r="F97">
        <v>97</v>
      </c>
      <c r="G97" s="27"/>
    </row>
    <row r="98" spans="1:7" hidden="1" x14ac:dyDescent="0.2">
      <c r="A98" t="s">
        <v>101</v>
      </c>
      <c r="C98" s="10">
        <v>18233</v>
      </c>
      <c r="D98">
        <v>2019</v>
      </c>
      <c r="E98" cm="1">
        <f t="array" aca="1" ref="E98" ca="1">SUMPRODUCT(SUBTOTAL(3,OFFSET($C$2:$C$288,ROW($C$2:$C$248)-MIN(ROW($C$2:$C$248)),0,1)),--(C98&lt;$C$2:$C$248))+1</f>
        <v>22</v>
      </c>
      <c r="F98">
        <v>98</v>
      </c>
      <c r="G98" s="27"/>
    </row>
    <row r="99" spans="1:7" hidden="1" x14ac:dyDescent="0.2">
      <c r="A99" t="s">
        <v>102</v>
      </c>
      <c r="C99" s="10">
        <v>17767</v>
      </c>
      <c r="D99">
        <v>2019</v>
      </c>
      <c r="E99" cm="1">
        <f t="array" aca="1" ref="E99" ca="1">SUMPRODUCT(SUBTOTAL(3,OFFSET($C$2:$C$288,ROW($C$2:$C$248)-MIN(ROW($C$2:$C$248)),0,1)),--(C99&lt;$C$2:$C$248))+1</f>
        <v>22</v>
      </c>
      <c r="F99">
        <v>99</v>
      </c>
      <c r="G99" s="27"/>
    </row>
    <row r="100" spans="1:7" hidden="1" x14ac:dyDescent="0.2">
      <c r="A100" t="s">
        <v>103</v>
      </c>
      <c r="C100" s="10">
        <v>17579</v>
      </c>
      <c r="D100">
        <v>2019</v>
      </c>
      <c r="E100" cm="1">
        <f t="array" aca="1" ref="E100" ca="1">SUMPRODUCT(SUBTOTAL(3,OFFSET($C$2:$C$288,ROW($C$2:$C$248)-MIN(ROW($C$2:$C$248)),0,1)),--(C100&lt;$C$2:$C$248))+1</f>
        <v>22</v>
      </c>
      <c r="F100">
        <v>100</v>
      </c>
      <c r="G100" s="27"/>
    </row>
    <row r="101" spans="1:7" hidden="1" x14ac:dyDescent="0.2">
      <c r="A101" t="s">
        <v>104</v>
      </c>
      <c r="C101">
        <v>17500</v>
      </c>
      <c r="D101">
        <v>2017</v>
      </c>
      <c r="E101" cm="1">
        <f t="array" aca="1" ref="E101" ca="1">SUMPRODUCT(SUBTOTAL(3,OFFSET($C$2:$C$288,ROW($C$2:$C$248)-MIN(ROW($C$2:$C$248)),0,1)),--(C101&lt;$C$2:$C$248))+1</f>
        <v>22</v>
      </c>
      <c r="F101">
        <v>101</v>
      </c>
      <c r="G101" s="27"/>
    </row>
    <row r="102" spans="1:7" hidden="1" x14ac:dyDescent="0.2">
      <c r="A102" t="s">
        <v>105</v>
      </c>
      <c r="C102" s="10">
        <v>17039</v>
      </c>
      <c r="D102">
        <v>2019</v>
      </c>
      <c r="E102" cm="1">
        <f t="array" aca="1" ref="E102" ca="1">SUMPRODUCT(SUBTOTAL(3,OFFSET($C$2:$C$288,ROW($C$2:$C$248)-MIN(ROW($C$2:$C$248)),0,1)),--(C102&lt;$C$2:$C$248))+1</f>
        <v>22</v>
      </c>
      <c r="F102">
        <v>102</v>
      </c>
      <c r="G102" s="27"/>
    </row>
    <row r="103" spans="1:7" hidden="1" x14ac:dyDescent="0.2">
      <c r="A103" t="s">
        <v>106</v>
      </c>
      <c r="C103">
        <v>17000</v>
      </c>
      <c r="D103">
        <v>2015</v>
      </c>
      <c r="E103" cm="1">
        <f t="array" aca="1" ref="E103" ca="1">SUMPRODUCT(SUBTOTAL(3,OFFSET($C$2:$C$288,ROW($C$2:$C$248)-MIN(ROW($C$2:$C$248)),0,1)),--(C103&lt;$C$2:$C$248))+1</f>
        <v>22</v>
      </c>
      <c r="F103">
        <v>103</v>
      </c>
      <c r="G103" s="27"/>
    </row>
    <row r="104" spans="1:7" hidden="1" x14ac:dyDescent="0.2">
      <c r="A104" t="s">
        <v>107</v>
      </c>
      <c r="C104">
        <v>16700</v>
      </c>
      <c r="D104">
        <v>2016</v>
      </c>
      <c r="E104" cm="1">
        <f t="array" aca="1" ref="E104" ca="1">SUMPRODUCT(SUBTOTAL(3,OFFSET($C$2:$C$288,ROW($C$2:$C$248)-MIN(ROW($C$2:$C$248)),0,1)),--(C104&lt;$C$2:$C$248))+1</f>
        <v>22</v>
      </c>
      <c r="F104">
        <v>104</v>
      </c>
      <c r="G104" s="27"/>
    </row>
    <row r="105" spans="1:7" hidden="1" x14ac:dyDescent="0.2">
      <c r="A105" t="s">
        <v>108</v>
      </c>
      <c r="C105" s="10">
        <v>16525</v>
      </c>
      <c r="D105">
        <v>2019</v>
      </c>
      <c r="E105" cm="1">
        <f t="array" aca="1" ref="E105" ca="1">SUMPRODUCT(SUBTOTAL(3,OFFSET($C$2:$C$288,ROW($C$2:$C$248)-MIN(ROW($C$2:$C$248)),0,1)),--(C105&lt;$C$2:$C$248))+1</f>
        <v>22</v>
      </c>
      <c r="F105">
        <v>105</v>
      </c>
      <c r="G105" s="27"/>
    </row>
    <row r="106" spans="1:7" hidden="1" x14ac:dyDescent="0.2">
      <c r="A106" t="s">
        <v>109</v>
      </c>
      <c r="C106" s="10">
        <v>16479</v>
      </c>
      <c r="D106">
        <v>2019</v>
      </c>
      <c r="E106" cm="1">
        <f t="array" aca="1" ref="E106" ca="1">SUMPRODUCT(SUBTOTAL(3,OFFSET($C$2:$C$288,ROW($C$2:$C$248)-MIN(ROW($C$2:$C$248)),0,1)),--(C106&lt;$C$2:$C$248))+1</f>
        <v>22</v>
      </c>
      <c r="F106">
        <v>106</v>
      </c>
      <c r="G106" s="27"/>
    </row>
    <row r="107" spans="1:7" hidden="1" x14ac:dyDescent="0.2">
      <c r="A107" t="s">
        <v>110</v>
      </c>
      <c r="C107" s="10">
        <v>16117</v>
      </c>
      <c r="D107">
        <v>2019</v>
      </c>
      <c r="E107" cm="1">
        <f t="array" aca="1" ref="E107" ca="1">SUMPRODUCT(SUBTOTAL(3,OFFSET($C$2:$C$288,ROW($C$2:$C$248)-MIN(ROW($C$2:$C$248)),0,1)),--(C107&lt;$C$2:$C$248))+1</f>
        <v>22</v>
      </c>
      <c r="F107">
        <v>107</v>
      </c>
      <c r="G107" s="27"/>
    </row>
    <row r="108" spans="1:7" hidden="1" x14ac:dyDescent="0.2">
      <c r="A108" t="s">
        <v>111</v>
      </c>
      <c r="C108" s="10">
        <v>15639</v>
      </c>
      <c r="D108">
        <v>2019</v>
      </c>
      <c r="E108" cm="1">
        <f t="array" aca="1" ref="E108" ca="1">SUMPRODUCT(SUBTOTAL(3,OFFSET($C$2:$C$288,ROW($C$2:$C$248)-MIN(ROW($C$2:$C$248)),0,1)),--(C108&lt;$C$2:$C$248))+1</f>
        <v>22</v>
      </c>
      <c r="F108">
        <v>108</v>
      </c>
      <c r="G108" s="27"/>
    </row>
    <row r="109" spans="1:7" hidden="1" x14ac:dyDescent="0.2">
      <c r="A109" t="s">
        <v>112</v>
      </c>
      <c r="C109" s="10">
        <v>15449</v>
      </c>
      <c r="D109">
        <v>2019</v>
      </c>
      <c r="E109" cm="1">
        <f t="array" aca="1" ref="E109" ca="1">SUMPRODUCT(SUBTOTAL(3,OFFSET($C$2:$C$288,ROW($C$2:$C$248)-MIN(ROW($C$2:$C$248)),0,1)),--(C109&lt;$C$2:$C$248))+1</f>
        <v>22</v>
      </c>
      <c r="F109">
        <v>109</v>
      </c>
      <c r="G109" s="27"/>
    </row>
    <row r="110" spans="1:7" hidden="1" x14ac:dyDescent="0.2">
      <c r="A110" t="s">
        <v>113</v>
      </c>
      <c r="C110" s="10">
        <v>15174</v>
      </c>
      <c r="D110">
        <v>2019</v>
      </c>
      <c r="E110" cm="1">
        <f t="array" aca="1" ref="E110" ca="1">SUMPRODUCT(SUBTOTAL(3,OFFSET($C$2:$C$288,ROW($C$2:$C$248)-MIN(ROW($C$2:$C$248)),0,1)),--(C110&lt;$C$2:$C$248))+1</f>
        <v>22</v>
      </c>
      <c r="F110">
        <v>110</v>
      </c>
      <c r="G110" s="27"/>
    </row>
    <row r="111" spans="1:7" hidden="1" x14ac:dyDescent="0.2">
      <c r="A111" t="s">
        <v>114</v>
      </c>
      <c r="C111" s="10">
        <v>14992</v>
      </c>
      <c r="D111">
        <v>2019</v>
      </c>
      <c r="E111" cm="1">
        <f t="array" aca="1" ref="E111" ca="1">SUMPRODUCT(SUBTOTAL(3,OFFSET($C$2:$C$288,ROW($C$2:$C$248)-MIN(ROW($C$2:$C$248)),0,1)),--(C111&lt;$C$2:$C$248))+1</f>
        <v>22</v>
      </c>
      <c r="F111">
        <v>111</v>
      </c>
      <c r="G111" s="27"/>
    </row>
    <row r="112" spans="1:7" hidden="1" x14ac:dyDescent="0.2">
      <c r="A112" t="s">
        <v>115</v>
      </c>
      <c r="C112" s="10">
        <v>14950</v>
      </c>
      <c r="D112">
        <v>2019</v>
      </c>
      <c r="E112" cm="1">
        <f t="array" aca="1" ref="E112" ca="1">SUMPRODUCT(SUBTOTAL(3,OFFSET($C$2:$C$288,ROW($C$2:$C$248)-MIN(ROW($C$2:$C$248)),0,1)),--(C112&lt;$C$2:$C$248))+1</f>
        <v>22</v>
      </c>
      <c r="F112">
        <v>112</v>
      </c>
      <c r="G112" s="27"/>
    </row>
    <row r="113" spans="1:7" hidden="1" x14ac:dyDescent="0.2">
      <c r="A113" t="s">
        <v>116</v>
      </c>
      <c r="C113" s="10">
        <v>14912</v>
      </c>
      <c r="D113">
        <v>2019</v>
      </c>
      <c r="E113" cm="1">
        <f t="array" aca="1" ref="E113" ca="1">SUMPRODUCT(SUBTOTAL(3,OFFSET($C$2:$C$288,ROW($C$2:$C$248)-MIN(ROW($C$2:$C$248)),0,1)),--(C113&lt;$C$2:$C$248))+1</f>
        <v>22</v>
      </c>
      <c r="F113">
        <v>113</v>
      </c>
      <c r="G113" s="27"/>
    </row>
    <row r="114" spans="1:7" hidden="1" x14ac:dyDescent="0.2">
      <c r="A114" t="s">
        <v>117</v>
      </c>
      <c r="C114">
        <v>14845</v>
      </c>
      <c r="D114">
        <v>2018</v>
      </c>
      <c r="E114" cm="1">
        <f t="array" aca="1" ref="E114" ca="1">SUMPRODUCT(SUBTOTAL(3,OFFSET($C$2:$C$288,ROW($C$2:$C$248)-MIN(ROW($C$2:$C$248)),0,1)),--(C114&lt;$C$2:$C$248))+1</f>
        <v>22</v>
      </c>
      <c r="F114">
        <v>114</v>
      </c>
      <c r="G114" s="27"/>
    </row>
    <row r="115" spans="1:7" hidden="1" x14ac:dyDescent="0.2">
      <c r="A115" t="s">
        <v>118</v>
      </c>
      <c r="C115" s="10">
        <v>14722</v>
      </c>
      <c r="D115">
        <v>2019</v>
      </c>
      <c r="E115" cm="1">
        <f t="array" aca="1" ref="E115" ca="1">SUMPRODUCT(SUBTOTAL(3,OFFSET($C$2:$C$288,ROW($C$2:$C$248)-MIN(ROW($C$2:$C$248)),0,1)),--(C115&lt;$C$2:$C$248))+1</f>
        <v>22</v>
      </c>
      <c r="F115">
        <v>115</v>
      </c>
      <c r="G115" s="27"/>
    </row>
    <row r="116" spans="1:7" hidden="1" x14ac:dyDescent="0.2">
      <c r="A116" t="s">
        <v>119</v>
      </c>
      <c r="C116" s="10">
        <v>14652</v>
      </c>
      <c r="D116">
        <v>2019</v>
      </c>
      <c r="E116" cm="1">
        <f t="array" aca="1" ref="E116" ca="1">SUMPRODUCT(SUBTOTAL(3,OFFSET($C$2:$C$288,ROW($C$2:$C$248)-MIN(ROW($C$2:$C$248)),0,1)),--(C116&lt;$C$2:$C$248))+1</f>
        <v>22</v>
      </c>
      <c r="F116">
        <v>116</v>
      </c>
      <c r="G116" s="27"/>
    </row>
    <row r="117" spans="1:7" hidden="1" x14ac:dyDescent="0.2">
      <c r="A117" t="s">
        <v>120</v>
      </c>
      <c r="C117" s="10">
        <v>14552</v>
      </c>
      <c r="D117">
        <v>2019</v>
      </c>
      <c r="E117" cm="1">
        <f t="array" aca="1" ref="E117" ca="1">SUMPRODUCT(SUBTOTAL(3,OFFSET($C$2:$C$288,ROW($C$2:$C$248)-MIN(ROW($C$2:$C$248)),0,1)),--(C117&lt;$C$2:$C$248))+1</f>
        <v>22</v>
      </c>
      <c r="F117">
        <v>117</v>
      </c>
      <c r="G117" s="27"/>
    </row>
    <row r="118" spans="1:7" hidden="1" x14ac:dyDescent="0.2">
      <c r="A118" t="s">
        <v>121</v>
      </c>
      <c r="C118" s="10">
        <v>14404</v>
      </c>
      <c r="D118">
        <v>2019</v>
      </c>
      <c r="E118" cm="1">
        <f t="array" aca="1" ref="E118" ca="1">SUMPRODUCT(SUBTOTAL(3,OFFSET($C$2:$C$288,ROW($C$2:$C$248)-MIN(ROW($C$2:$C$248)),0,1)),--(C118&lt;$C$2:$C$248))+1</f>
        <v>22</v>
      </c>
      <c r="F118">
        <v>118</v>
      </c>
      <c r="G118" s="27"/>
    </row>
    <row r="119" spans="1:7" hidden="1" x14ac:dyDescent="0.2">
      <c r="A119" t="s">
        <v>122</v>
      </c>
      <c r="C119" s="10">
        <v>13965</v>
      </c>
      <c r="D119">
        <v>2019</v>
      </c>
      <c r="E119" cm="1">
        <f t="array" aca="1" ref="E119" ca="1">SUMPRODUCT(SUBTOTAL(3,OFFSET($C$2:$C$288,ROW($C$2:$C$248)-MIN(ROW($C$2:$C$248)),0,1)),--(C119&lt;$C$2:$C$248))+1</f>
        <v>22</v>
      </c>
      <c r="F119">
        <v>119</v>
      </c>
      <c r="G119" s="27"/>
    </row>
    <row r="120" spans="1:7" hidden="1" x14ac:dyDescent="0.2">
      <c r="A120" t="s">
        <v>123</v>
      </c>
      <c r="C120" s="10">
        <v>13684</v>
      </c>
      <c r="D120">
        <v>2019</v>
      </c>
      <c r="E120" cm="1">
        <f t="array" aca="1" ref="E120" ca="1">SUMPRODUCT(SUBTOTAL(3,OFFSET($C$2:$C$288,ROW($C$2:$C$248)-MIN(ROW($C$2:$C$248)),0,1)),--(C120&lt;$C$2:$C$248))+1</f>
        <v>22</v>
      </c>
      <c r="F120">
        <v>120</v>
      </c>
      <c r="G120" s="27"/>
    </row>
    <row r="121" spans="1:7" hidden="1" x14ac:dyDescent="0.2">
      <c r="A121" t="s">
        <v>124</v>
      </c>
      <c r="C121" s="10">
        <v>13654</v>
      </c>
      <c r="D121">
        <v>2019</v>
      </c>
      <c r="E121" cm="1">
        <f t="array" aca="1" ref="E121" ca="1">SUMPRODUCT(SUBTOTAL(3,OFFSET($C$2:$C$288,ROW($C$2:$C$248)-MIN(ROW($C$2:$C$248)),0,1)),--(C121&lt;$C$2:$C$248))+1</f>
        <v>22</v>
      </c>
      <c r="F121">
        <v>121</v>
      </c>
      <c r="G121" s="27"/>
    </row>
    <row r="122" spans="1:7" hidden="1" x14ac:dyDescent="0.2">
      <c r="A122" t="s">
        <v>125</v>
      </c>
      <c r="C122" s="10">
        <v>13082</v>
      </c>
      <c r="D122">
        <v>2019</v>
      </c>
      <c r="E122" cm="1">
        <f t="array" aca="1" ref="E122" ca="1">SUMPRODUCT(SUBTOTAL(3,OFFSET($C$2:$C$288,ROW($C$2:$C$248)-MIN(ROW($C$2:$C$248)),0,1)),--(C122&lt;$C$2:$C$248))+1</f>
        <v>22</v>
      </c>
      <c r="F122">
        <v>122</v>
      </c>
      <c r="G122" s="27"/>
    </row>
    <row r="123" spans="1:7" hidden="1" x14ac:dyDescent="0.2">
      <c r="A123" t="s">
        <v>126</v>
      </c>
      <c r="C123" s="10">
        <v>13078</v>
      </c>
      <c r="D123">
        <v>2019</v>
      </c>
      <c r="E123" cm="1">
        <f t="array" aca="1" ref="E123" ca="1">SUMPRODUCT(SUBTOTAL(3,OFFSET($C$2:$C$288,ROW($C$2:$C$248)-MIN(ROW($C$2:$C$248)),0,1)),--(C123&lt;$C$2:$C$248))+1</f>
        <v>22</v>
      </c>
      <c r="F123">
        <v>123</v>
      </c>
      <c r="G123" s="27"/>
    </row>
    <row r="124" spans="1:7" hidden="1" x14ac:dyDescent="0.2">
      <c r="A124" t="s">
        <v>127</v>
      </c>
      <c r="C124" s="10">
        <v>13050</v>
      </c>
      <c r="D124">
        <v>2019</v>
      </c>
      <c r="E124" cm="1">
        <f t="array" aca="1" ref="E124" ca="1">SUMPRODUCT(SUBTOTAL(3,OFFSET($C$2:$C$288,ROW($C$2:$C$248)-MIN(ROW($C$2:$C$248)),0,1)),--(C124&lt;$C$2:$C$248))+1</f>
        <v>22</v>
      </c>
      <c r="F124">
        <v>124</v>
      </c>
      <c r="G124" s="27"/>
    </row>
    <row r="125" spans="1:7" hidden="1" x14ac:dyDescent="0.2">
      <c r="A125" t="s">
        <v>128</v>
      </c>
      <c r="C125" s="10">
        <v>12848</v>
      </c>
      <c r="D125">
        <v>2019</v>
      </c>
      <c r="E125" cm="1">
        <f t="array" aca="1" ref="E125" ca="1">SUMPRODUCT(SUBTOTAL(3,OFFSET($C$2:$C$288,ROW($C$2:$C$248)-MIN(ROW($C$2:$C$248)),0,1)),--(C125&lt;$C$2:$C$248))+1</f>
        <v>22</v>
      </c>
      <c r="F125">
        <v>125</v>
      </c>
      <c r="G125" s="27"/>
    </row>
    <row r="126" spans="1:7" hidden="1" x14ac:dyDescent="0.2">
      <c r="A126" t="s">
        <v>129</v>
      </c>
      <c r="C126" s="10">
        <v>12810</v>
      </c>
      <c r="D126">
        <v>2019</v>
      </c>
      <c r="E126" cm="1">
        <f t="array" aca="1" ref="E126" ca="1">SUMPRODUCT(SUBTOTAL(3,OFFSET($C$2:$C$288,ROW($C$2:$C$248)-MIN(ROW($C$2:$C$248)),0,1)),--(C126&lt;$C$2:$C$248))+1</f>
        <v>22</v>
      </c>
      <c r="F126">
        <v>126</v>
      </c>
      <c r="G126" s="27"/>
    </row>
    <row r="127" spans="1:7" hidden="1" x14ac:dyDescent="0.2">
      <c r="A127" t="s">
        <v>130</v>
      </c>
      <c r="C127" s="10">
        <v>12685</v>
      </c>
      <c r="D127">
        <v>2019</v>
      </c>
      <c r="E127" cm="1">
        <f t="array" aca="1" ref="E127" ca="1">SUMPRODUCT(SUBTOTAL(3,OFFSET($C$2:$C$288,ROW($C$2:$C$248)-MIN(ROW($C$2:$C$248)),0,1)),--(C127&lt;$C$2:$C$248))+1</f>
        <v>22</v>
      </c>
      <c r="F127">
        <v>127</v>
      </c>
      <c r="G127" s="27"/>
    </row>
    <row r="128" spans="1:7" hidden="1" x14ac:dyDescent="0.2">
      <c r="A128" t="s">
        <v>131</v>
      </c>
      <c r="C128" s="10">
        <v>12485</v>
      </c>
      <c r="D128">
        <v>2019</v>
      </c>
      <c r="E128" cm="1">
        <f t="array" aca="1" ref="E128" ca="1">SUMPRODUCT(SUBTOTAL(3,OFFSET($C$2:$C$288,ROW($C$2:$C$248)-MIN(ROW($C$2:$C$248)),0,1)),--(C128&lt;$C$2:$C$248))+1</f>
        <v>22</v>
      </c>
      <c r="F128">
        <v>128</v>
      </c>
      <c r="G128" s="27"/>
    </row>
    <row r="129" spans="1:7" hidden="1" x14ac:dyDescent="0.2">
      <c r="A129" t="s">
        <v>132</v>
      </c>
      <c r="C129" s="10">
        <v>12482</v>
      </c>
      <c r="D129">
        <v>2019</v>
      </c>
      <c r="E129" cm="1">
        <f t="array" aca="1" ref="E129" ca="1">SUMPRODUCT(SUBTOTAL(3,OFFSET($C$2:$C$288,ROW($C$2:$C$248)-MIN(ROW($C$2:$C$248)),0,1)),--(C129&lt;$C$2:$C$248))+1</f>
        <v>22</v>
      </c>
      <c r="F129">
        <v>129</v>
      </c>
      <c r="G129" s="27"/>
    </row>
    <row r="130" spans="1:7" hidden="1" x14ac:dyDescent="0.2">
      <c r="A130" t="s">
        <v>133</v>
      </c>
      <c r="C130" s="10">
        <v>12389</v>
      </c>
      <c r="D130">
        <v>2019</v>
      </c>
      <c r="E130" cm="1">
        <f t="array" aca="1" ref="E130" ca="1">SUMPRODUCT(SUBTOTAL(3,OFFSET($C$2:$C$288,ROW($C$2:$C$248)-MIN(ROW($C$2:$C$248)),0,1)),--(C130&lt;$C$2:$C$248))+1</f>
        <v>22</v>
      </c>
      <c r="F130">
        <v>130</v>
      </c>
      <c r="G130" s="27"/>
    </row>
    <row r="131" spans="1:7" hidden="1" x14ac:dyDescent="0.2">
      <c r="A131" t="s">
        <v>134</v>
      </c>
      <c r="C131" s="10">
        <v>12317</v>
      </c>
      <c r="D131">
        <v>2019</v>
      </c>
      <c r="E131" cm="1">
        <f t="array" aca="1" ref="E131" ca="1">SUMPRODUCT(SUBTOTAL(3,OFFSET($C$2:$C$288,ROW($C$2:$C$248)-MIN(ROW($C$2:$C$248)),0,1)),--(C131&lt;$C$2:$C$248))+1</f>
        <v>22</v>
      </c>
      <c r="F131">
        <v>131</v>
      </c>
      <c r="G131" s="27"/>
    </row>
    <row r="132" spans="1:7" hidden="1" x14ac:dyDescent="0.2">
      <c r="A132" t="s">
        <v>135</v>
      </c>
      <c r="C132">
        <v>12300</v>
      </c>
      <c r="D132">
        <v>2016</v>
      </c>
      <c r="E132" cm="1">
        <f t="array" aca="1" ref="E132" ca="1">SUMPRODUCT(SUBTOTAL(3,OFFSET($C$2:$C$288,ROW($C$2:$C$248)-MIN(ROW($C$2:$C$248)),0,1)),--(C132&lt;$C$2:$C$248))+1</f>
        <v>22</v>
      </c>
      <c r="F132">
        <v>132</v>
      </c>
      <c r="G132" s="27"/>
    </row>
    <row r="133" spans="1:7" hidden="1" x14ac:dyDescent="0.2">
      <c r="A133" t="s">
        <v>136</v>
      </c>
      <c r="C133">
        <v>12200</v>
      </c>
      <c r="D133">
        <v>2008</v>
      </c>
      <c r="E133" cm="1">
        <f t="array" aca="1" ref="E133" ca="1">SUMPRODUCT(SUBTOTAL(3,OFFSET($C$2:$C$288,ROW($C$2:$C$248)-MIN(ROW($C$2:$C$248)),0,1)),--(C133&lt;$C$2:$C$248))+1</f>
        <v>22</v>
      </c>
      <c r="F133">
        <v>133</v>
      </c>
      <c r="G133" s="27"/>
    </row>
    <row r="134" spans="1:7" hidden="1" x14ac:dyDescent="0.2">
      <c r="A134" t="s">
        <v>137</v>
      </c>
      <c r="C134" s="10">
        <v>11917</v>
      </c>
      <c r="D134">
        <v>2019</v>
      </c>
      <c r="E134" cm="1">
        <f t="array" aca="1" ref="E134" ca="1">SUMPRODUCT(SUBTOTAL(3,OFFSET($C$2:$C$288,ROW($C$2:$C$248)-MIN(ROW($C$2:$C$248)),0,1)),--(C134&lt;$C$2:$C$248))+1</f>
        <v>22</v>
      </c>
      <c r="F134">
        <v>134</v>
      </c>
      <c r="G134" s="27"/>
    </row>
    <row r="135" spans="1:7" hidden="1" x14ac:dyDescent="0.2">
      <c r="A135" t="s">
        <v>138</v>
      </c>
      <c r="C135" s="10">
        <v>11832</v>
      </c>
      <c r="D135">
        <v>2019</v>
      </c>
      <c r="E135" cm="1">
        <f t="array" aca="1" ref="E135" ca="1">SUMPRODUCT(SUBTOTAL(3,OFFSET($C$2:$C$288,ROW($C$2:$C$248)-MIN(ROW($C$2:$C$248)),0,1)),--(C135&lt;$C$2:$C$248))+1</f>
        <v>22</v>
      </c>
      <c r="F135">
        <v>135</v>
      </c>
      <c r="G135" s="27"/>
    </row>
    <row r="136" spans="1:7" hidden="1" x14ac:dyDescent="0.2">
      <c r="A136" t="s">
        <v>139</v>
      </c>
      <c r="C136" s="10">
        <v>11812</v>
      </c>
      <c r="D136">
        <v>2019</v>
      </c>
      <c r="E136" cm="1">
        <f t="array" aca="1" ref="E136" ca="1">SUMPRODUCT(SUBTOTAL(3,OFFSET($C$2:$C$288,ROW($C$2:$C$248)-MIN(ROW($C$2:$C$248)),0,1)),--(C136&lt;$C$2:$C$248))+1</f>
        <v>22</v>
      </c>
      <c r="F136">
        <v>136</v>
      </c>
      <c r="G136" s="27"/>
    </row>
    <row r="137" spans="1:7" hidden="1" x14ac:dyDescent="0.2">
      <c r="A137" t="s">
        <v>140</v>
      </c>
      <c r="C137" s="10">
        <v>11763</v>
      </c>
      <c r="D137">
        <v>2019</v>
      </c>
      <c r="E137" cm="1">
        <f t="array" aca="1" ref="E137" ca="1">SUMPRODUCT(SUBTOTAL(3,OFFSET($C$2:$C$288,ROW($C$2:$C$248)-MIN(ROW($C$2:$C$248)),0,1)),--(C137&lt;$C$2:$C$248))+1</f>
        <v>22</v>
      </c>
      <c r="F137">
        <v>137</v>
      </c>
      <c r="G137" s="27"/>
    </row>
    <row r="138" spans="1:7" hidden="1" x14ac:dyDescent="0.2">
      <c r="A138" t="s">
        <v>141</v>
      </c>
      <c r="C138" s="10">
        <v>11583</v>
      </c>
      <c r="D138">
        <v>2019</v>
      </c>
      <c r="E138" cm="1">
        <f t="array" aca="1" ref="E138" ca="1">SUMPRODUCT(SUBTOTAL(3,OFFSET($C$2:$C$288,ROW($C$2:$C$248)-MIN(ROW($C$2:$C$248)),0,1)),--(C138&lt;$C$2:$C$248))+1</f>
        <v>22</v>
      </c>
      <c r="F138">
        <v>138</v>
      </c>
      <c r="G138" s="27"/>
    </row>
    <row r="139" spans="1:7" hidden="1" x14ac:dyDescent="0.2">
      <c r="A139" t="s">
        <v>142</v>
      </c>
      <c r="C139" s="10">
        <v>11511</v>
      </c>
      <c r="D139">
        <v>2019</v>
      </c>
      <c r="E139" cm="1">
        <f t="array" aca="1" ref="E139" ca="1">SUMPRODUCT(SUBTOTAL(3,OFFSET($C$2:$C$288,ROW($C$2:$C$248)-MIN(ROW($C$2:$C$248)),0,1)),--(C139&lt;$C$2:$C$248))+1</f>
        <v>22</v>
      </c>
      <c r="F139">
        <v>139</v>
      </c>
      <c r="G139" s="27"/>
    </row>
    <row r="140" spans="1:7" hidden="1" x14ac:dyDescent="0.2">
      <c r="A140" t="s">
        <v>143</v>
      </c>
      <c r="C140" s="10">
        <v>11375</v>
      </c>
      <c r="D140">
        <v>2019</v>
      </c>
      <c r="E140" cm="1">
        <f t="array" aca="1" ref="E140" ca="1">SUMPRODUCT(SUBTOTAL(3,OFFSET($C$2:$C$288,ROW($C$2:$C$248)-MIN(ROW($C$2:$C$248)),0,1)),--(C140&lt;$C$2:$C$248))+1</f>
        <v>22</v>
      </c>
      <c r="F140">
        <v>140</v>
      </c>
      <c r="G140" s="27"/>
    </row>
    <row r="141" spans="1:7" hidden="1" x14ac:dyDescent="0.2">
      <c r="A141" t="s">
        <v>144</v>
      </c>
      <c r="C141" s="10">
        <v>11368</v>
      </c>
      <c r="D141">
        <v>2019</v>
      </c>
      <c r="E141" cm="1">
        <f t="array" aca="1" ref="E141" ca="1">SUMPRODUCT(SUBTOTAL(3,OFFSET($C$2:$C$288,ROW($C$2:$C$248)-MIN(ROW($C$2:$C$248)),0,1)),--(C141&lt;$C$2:$C$248))+1</f>
        <v>22</v>
      </c>
      <c r="F141">
        <v>141</v>
      </c>
      <c r="G141" s="27"/>
    </row>
    <row r="142" spans="1:7" hidden="1" x14ac:dyDescent="0.2">
      <c r="A142" t="s">
        <v>145</v>
      </c>
      <c r="C142">
        <v>11200</v>
      </c>
      <c r="D142">
        <v>2016</v>
      </c>
      <c r="E142" cm="1">
        <f t="array" aca="1" ref="E142" ca="1">SUMPRODUCT(SUBTOTAL(3,OFFSET($C$2:$C$288,ROW($C$2:$C$248)-MIN(ROW($C$2:$C$248)),0,1)),--(C142&lt;$C$2:$C$248))+1</f>
        <v>22</v>
      </c>
      <c r="F142">
        <v>142</v>
      </c>
      <c r="G142" s="27"/>
    </row>
    <row r="143" spans="1:7" hidden="1" x14ac:dyDescent="0.2">
      <c r="A143" t="s">
        <v>146</v>
      </c>
      <c r="C143" s="10">
        <v>10881</v>
      </c>
      <c r="D143">
        <v>2019</v>
      </c>
      <c r="E143" cm="1">
        <f t="array" aca="1" ref="E143" ca="1">SUMPRODUCT(SUBTOTAL(3,OFFSET($C$2:$C$288,ROW($C$2:$C$248)-MIN(ROW($C$2:$C$248)),0,1)),--(C143&lt;$C$2:$C$248))+1</f>
        <v>22</v>
      </c>
      <c r="F143">
        <v>143</v>
      </c>
      <c r="G143" s="27"/>
    </row>
    <row r="144" spans="1:7" hidden="1" x14ac:dyDescent="0.2">
      <c r="A144" t="s">
        <v>147</v>
      </c>
      <c r="C144" s="10">
        <v>10756</v>
      </c>
      <c r="D144">
        <v>2019</v>
      </c>
      <c r="E144" cm="1">
        <f t="array" aca="1" ref="E144" ca="1">SUMPRODUCT(SUBTOTAL(3,OFFSET($C$2:$C$288,ROW($C$2:$C$248)-MIN(ROW($C$2:$C$248)),0,1)),--(C144&lt;$C$2:$C$248))+1</f>
        <v>22</v>
      </c>
      <c r="F144">
        <v>144</v>
      </c>
      <c r="G144" s="27"/>
    </row>
    <row r="145" spans="1:7" hidden="1" x14ac:dyDescent="0.2">
      <c r="A145" t="s">
        <v>148</v>
      </c>
      <c r="C145" s="10">
        <v>10071</v>
      </c>
      <c r="D145">
        <v>2019</v>
      </c>
      <c r="E145" cm="1">
        <f t="array" aca="1" ref="E145" ca="1">SUMPRODUCT(SUBTOTAL(3,OFFSET($C$2:$C$288,ROW($C$2:$C$248)-MIN(ROW($C$2:$C$248)),0,1)),--(C145&lt;$C$2:$C$248))+1</f>
        <v>22</v>
      </c>
      <c r="F145">
        <v>145</v>
      </c>
      <c r="G145" s="27"/>
    </row>
    <row r="146" spans="1:7" hidden="1" x14ac:dyDescent="0.2">
      <c r="A146" t="s">
        <v>149</v>
      </c>
      <c r="C146" s="10">
        <v>9762</v>
      </c>
      <c r="D146">
        <v>2019</v>
      </c>
      <c r="E146" cm="1">
        <f t="array" aca="1" ref="E146" ca="1">SUMPRODUCT(SUBTOTAL(3,OFFSET($C$2:$C$288,ROW($C$2:$C$248)-MIN(ROW($C$2:$C$248)),0,1)),--(C146&lt;$C$2:$C$248))+1</f>
        <v>22</v>
      </c>
      <c r="F146">
        <v>146</v>
      </c>
      <c r="G146" s="27"/>
    </row>
    <row r="147" spans="1:7" hidden="1" x14ac:dyDescent="0.2">
      <c r="A147" t="s">
        <v>150</v>
      </c>
      <c r="C147" s="10">
        <v>9637</v>
      </c>
      <c r="D147">
        <v>2019</v>
      </c>
      <c r="E147" cm="1">
        <f t="array" aca="1" ref="E147" ca="1">SUMPRODUCT(SUBTOTAL(3,OFFSET($C$2:$C$288,ROW($C$2:$C$248)-MIN(ROW($C$2:$C$248)),0,1)),--(C147&lt;$C$2:$C$248))+1</f>
        <v>22</v>
      </c>
      <c r="F147">
        <v>147</v>
      </c>
      <c r="G147" s="27"/>
    </row>
    <row r="148" spans="1:7" hidden="1" x14ac:dyDescent="0.2">
      <c r="A148" t="s">
        <v>151</v>
      </c>
      <c r="C148" s="10">
        <v>8908</v>
      </c>
      <c r="D148">
        <v>2019</v>
      </c>
      <c r="E148" cm="1">
        <f t="array" aca="1" ref="E148" ca="1">SUMPRODUCT(SUBTOTAL(3,OFFSET($C$2:$C$288,ROW($C$2:$C$248)-MIN(ROW($C$2:$C$248)),0,1)),--(C148&lt;$C$2:$C$248))+1</f>
        <v>22</v>
      </c>
      <c r="F148">
        <v>148</v>
      </c>
      <c r="G148" s="27"/>
    </row>
    <row r="149" spans="1:7" hidden="1" x14ac:dyDescent="0.2">
      <c r="A149" t="s">
        <v>152</v>
      </c>
      <c r="C149" s="10">
        <v>8776</v>
      </c>
      <c r="D149">
        <v>2019</v>
      </c>
      <c r="E149" cm="1">
        <f t="array" aca="1" ref="E149" ca="1">SUMPRODUCT(SUBTOTAL(3,OFFSET($C$2:$C$288,ROW($C$2:$C$248)-MIN(ROW($C$2:$C$248)),0,1)),--(C149&lt;$C$2:$C$248))+1</f>
        <v>22</v>
      </c>
      <c r="F149">
        <v>149</v>
      </c>
      <c r="G149" s="27"/>
    </row>
    <row r="150" spans="1:7" hidden="1" x14ac:dyDescent="0.2">
      <c r="A150" t="s">
        <v>153</v>
      </c>
      <c r="C150" s="10">
        <v>8724</v>
      </c>
      <c r="D150">
        <v>2019</v>
      </c>
      <c r="E150" cm="1">
        <f t="array" aca="1" ref="E150" ca="1">SUMPRODUCT(SUBTOTAL(3,OFFSET($C$2:$C$288,ROW($C$2:$C$248)-MIN(ROW($C$2:$C$248)),0,1)),--(C150&lt;$C$2:$C$248))+1</f>
        <v>22</v>
      </c>
      <c r="F150">
        <v>150</v>
      </c>
      <c r="G150" s="27"/>
    </row>
    <row r="151" spans="1:7" hidden="1" x14ac:dyDescent="0.2">
      <c r="A151" t="s">
        <v>154</v>
      </c>
      <c r="C151" s="10">
        <v>8637</v>
      </c>
      <c r="D151">
        <v>2019</v>
      </c>
      <c r="E151" cm="1">
        <f t="array" aca="1" ref="E151" ca="1">SUMPRODUCT(SUBTOTAL(3,OFFSET($C$2:$C$288,ROW($C$2:$C$248)-MIN(ROW($C$2:$C$248)),0,1)),--(C151&lt;$C$2:$C$248))+1</f>
        <v>22</v>
      </c>
      <c r="F151">
        <v>151</v>
      </c>
      <c r="G151" s="27"/>
    </row>
    <row r="152" spans="1:7" hidden="1" x14ac:dyDescent="0.2">
      <c r="A152" t="s">
        <v>155</v>
      </c>
      <c r="C152" s="10">
        <v>8622</v>
      </c>
      <c r="D152">
        <v>2019</v>
      </c>
      <c r="E152" cm="1">
        <f t="array" aca="1" ref="E152" ca="1">SUMPRODUCT(SUBTOTAL(3,OFFSET($C$2:$C$288,ROW($C$2:$C$248)-MIN(ROW($C$2:$C$248)),0,1)),--(C152&lt;$C$2:$C$248))+1</f>
        <v>22</v>
      </c>
      <c r="F152">
        <v>152</v>
      </c>
      <c r="G152" s="27"/>
    </row>
    <row r="153" spans="1:7" hidden="1" x14ac:dyDescent="0.2">
      <c r="A153" t="s">
        <v>156</v>
      </c>
      <c r="C153" s="10">
        <v>8041</v>
      </c>
      <c r="D153">
        <v>2019</v>
      </c>
      <c r="E153" cm="1">
        <f t="array" aca="1" ref="E153" ca="1">SUMPRODUCT(SUBTOTAL(3,OFFSET($C$2:$C$288,ROW($C$2:$C$248)-MIN(ROW($C$2:$C$248)),0,1)),--(C153&lt;$C$2:$C$248))+1</f>
        <v>22</v>
      </c>
      <c r="F153">
        <v>153</v>
      </c>
      <c r="G153" s="27"/>
    </row>
    <row r="154" spans="1:7" hidden="1" x14ac:dyDescent="0.2">
      <c r="A154" t="s">
        <v>157</v>
      </c>
      <c r="C154" s="10">
        <v>7826</v>
      </c>
      <c r="D154">
        <v>2019</v>
      </c>
      <c r="E154" cm="1">
        <f t="array" aca="1" ref="E154" ca="1">SUMPRODUCT(SUBTOTAL(3,OFFSET($C$2:$C$288,ROW($C$2:$C$248)-MIN(ROW($C$2:$C$248)),0,1)),--(C154&lt;$C$2:$C$248))+1</f>
        <v>22</v>
      </c>
      <c r="F154">
        <v>154</v>
      </c>
      <c r="G154" s="27"/>
    </row>
    <row r="155" spans="1:7" hidden="1" x14ac:dyDescent="0.2">
      <c r="A155" t="s">
        <v>158</v>
      </c>
      <c r="C155">
        <v>7704</v>
      </c>
      <c r="D155">
        <v>2018</v>
      </c>
      <c r="E155" cm="1">
        <f t="array" aca="1" ref="E155" ca="1">SUMPRODUCT(SUBTOTAL(3,OFFSET($C$2:$C$288,ROW($C$2:$C$248)-MIN(ROW($C$2:$C$248)),0,1)),--(C155&lt;$C$2:$C$248))+1</f>
        <v>22</v>
      </c>
      <c r="F155">
        <v>155</v>
      </c>
      <c r="G155" s="27"/>
    </row>
    <row r="156" spans="1:7" hidden="1" x14ac:dyDescent="0.2">
      <c r="A156" t="s">
        <v>159</v>
      </c>
      <c r="C156" s="10">
        <v>7515</v>
      </c>
      <c r="D156">
        <v>2019</v>
      </c>
      <c r="E156" cm="1">
        <f t="array" aca="1" ref="E156" ca="1">SUMPRODUCT(SUBTOTAL(3,OFFSET($C$2:$C$288,ROW($C$2:$C$248)-MIN(ROW($C$2:$C$248)),0,1)),--(C156&lt;$C$2:$C$248))+1</f>
        <v>22</v>
      </c>
      <c r="F156">
        <v>156</v>
      </c>
      <c r="G156" s="27"/>
    </row>
    <row r="157" spans="1:7" hidden="1" x14ac:dyDescent="0.2">
      <c r="A157" t="s">
        <v>160</v>
      </c>
      <c r="C157" s="10">
        <v>7172</v>
      </c>
      <c r="D157">
        <v>2019</v>
      </c>
      <c r="E157" cm="1">
        <f t="array" aca="1" ref="E157" ca="1">SUMPRODUCT(SUBTOTAL(3,OFFSET($C$2:$C$288,ROW($C$2:$C$248)-MIN(ROW($C$2:$C$248)),0,1)),--(C157&lt;$C$2:$C$248))+1</f>
        <v>22</v>
      </c>
      <c r="F157">
        <v>157</v>
      </c>
      <c r="G157" s="27"/>
    </row>
    <row r="158" spans="1:7" hidden="1" x14ac:dyDescent="0.2">
      <c r="A158" t="s">
        <v>161</v>
      </c>
      <c r="C158" s="10">
        <v>7005</v>
      </c>
      <c r="D158">
        <v>2019</v>
      </c>
      <c r="E158" cm="1">
        <f t="array" aca="1" ref="E158" ca="1">SUMPRODUCT(SUBTOTAL(3,OFFSET($C$2:$C$288,ROW($C$2:$C$248)-MIN(ROW($C$2:$C$248)),0,1)),--(C158&lt;$C$2:$C$248))+1</f>
        <v>22</v>
      </c>
      <c r="F158">
        <v>158</v>
      </c>
      <c r="G158" s="27"/>
    </row>
    <row r="159" spans="1:7" hidden="1" x14ac:dyDescent="0.2">
      <c r="A159" t="s">
        <v>162</v>
      </c>
      <c r="C159" s="10">
        <v>6999</v>
      </c>
      <c r="D159">
        <v>2019</v>
      </c>
      <c r="E159" cm="1">
        <f t="array" aca="1" ref="E159" ca="1">SUMPRODUCT(SUBTOTAL(3,OFFSET($C$2:$C$288,ROW($C$2:$C$248)-MIN(ROW($C$2:$C$248)),0,1)),--(C159&lt;$C$2:$C$248))+1</f>
        <v>22</v>
      </c>
      <c r="F159">
        <v>159</v>
      </c>
      <c r="G159" s="27"/>
    </row>
    <row r="160" spans="1:7" hidden="1" x14ac:dyDescent="0.2">
      <c r="A160" t="s">
        <v>163</v>
      </c>
      <c r="C160" s="10">
        <v>6700</v>
      </c>
      <c r="D160">
        <v>2019</v>
      </c>
      <c r="E160" cm="1">
        <f t="array" aca="1" ref="E160" ca="1">SUMPRODUCT(SUBTOTAL(3,OFFSET($C$2:$C$288,ROW($C$2:$C$248)-MIN(ROW($C$2:$C$248)),0,1)),--(C160&lt;$C$2:$C$248))+1</f>
        <v>22</v>
      </c>
      <c r="F160">
        <v>160</v>
      </c>
      <c r="G160" s="27"/>
    </row>
    <row r="161" spans="1:7" hidden="1" x14ac:dyDescent="0.2">
      <c r="A161" t="s">
        <v>164</v>
      </c>
      <c r="C161" s="10">
        <v>6670</v>
      </c>
      <c r="D161">
        <v>2019</v>
      </c>
      <c r="E161" cm="1">
        <f t="array" aca="1" ref="E161" ca="1">SUMPRODUCT(SUBTOTAL(3,OFFSET($C$2:$C$288,ROW($C$2:$C$248)-MIN(ROW($C$2:$C$248)),0,1)),--(C161&lt;$C$2:$C$248))+1</f>
        <v>22</v>
      </c>
      <c r="F161">
        <v>161</v>
      </c>
      <c r="G161" s="27"/>
    </row>
    <row r="162" spans="1:7" hidden="1" x14ac:dyDescent="0.2">
      <c r="A162" t="s">
        <v>165</v>
      </c>
      <c r="C162" s="10">
        <v>6521</v>
      </c>
      <c r="D162">
        <v>2019</v>
      </c>
      <c r="E162" cm="1">
        <f t="array" aca="1" ref="E162" ca="1">SUMPRODUCT(SUBTOTAL(3,OFFSET($C$2:$C$288,ROW($C$2:$C$248)-MIN(ROW($C$2:$C$248)),0,1)),--(C162&lt;$C$2:$C$248))+1</f>
        <v>22</v>
      </c>
      <c r="F162">
        <v>162</v>
      </c>
      <c r="G162" s="27"/>
    </row>
    <row r="163" spans="1:7" hidden="1" x14ac:dyDescent="0.2">
      <c r="A163" t="s">
        <v>166</v>
      </c>
      <c r="C163" s="10">
        <v>6383</v>
      </c>
      <c r="D163">
        <v>2019</v>
      </c>
      <c r="E163" cm="1">
        <f t="array" aca="1" ref="E163" ca="1">SUMPRODUCT(SUBTOTAL(3,OFFSET($C$2:$C$288,ROW($C$2:$C$248)-MIN(ROW($C$2:$C$248)),0,1)),--(C163&lt;$C$2:$C$248))+1</f>
        <v>22</v>
      </c>
      <c r="F163">
        <v>163</v>
      </c>
      <c r="G163" s="27"/>
    </row>
    <row r="164" spans="1:7" hidden="1" x14ac:dyDescent="0.2">
      <c r="A164" t="s">
        <v>167</v>
      </c>
      <c r="C164" s="10">
        <v>6220</v>
      </c>
      <c r="D164">
        <v>2019</v>
      </c>
      <c r="E164" cm="1">
        <f t="array" aca="1" ref="E164" ca="1">SUMPRODUCT(SUBTOTAL(3,OFFSET($C$2:$C$288,ROW($C$2:$C$248)-MIN(ROW($C$2:$C$248)),0,1)),--(C164&lt;$C$2:$C$248))+1</f>
        <v>22</v>
      </c>
      <c r="F164">
        <v>164</v>
      </c>
      <c r="G164" s="27"/>
    </row>
    <row r="165" spans="1:7" hidden="1" x14ac:dyDescent="0.2">
      <c r="A165" t="s">
        <v>168</v>
      </c>
      <c r="C165">
        <v>6004</v>
      </c>
      <c r="D165">
        <v>2017</v>
      </c>
      <c r="E165" cm="1">
        <f t="array" aca="1" ref="E165" ca="1">SUMPRODUCT(SUBTOTAL(3,OFFSET($C$2:$C$288,ROW($C$2:$C$248)-MIN(ROW($C$2:$C$248)),0,1)),--(C165&lt;$C$2:$C$248))+1</f>
        <v>22</v>
      </c>
      <c r="F165">
        <v>165</v>
      </c>
      <c r="G165" s="27"/>
    </row>
    <row r="166" spans="1:7" hidden="1" x14ac:dyDescent="0.2">
      <c r="A166" t="s">
        <v>169</v>
      </c>
      <c r="C166">
        <v>5800</v>
      </c>
      <c r="D166">
        <v>2003</v>
      </c>
      <c r="E166" cm="1">
        <f t="array" aca="1" ref="E166" ca="1">SUMPRODUCT(SUBTOTAL(3,OFFSET($C$2:$C$288,ROW($C$2:$C$248)-MIN(ROW($C$2:$C$248)),0,1)),--(C166&lt;$C$2:$C$248))+1</f>
        <v>22</v>
      </c>
      <c r="F166">
        <v>166</v>
      </c>
      <c r="G166" s="27"/>
    </row>
    <row r="167" spans="1:7" hidden="1" x14ac:dyDescent="0.2">
      <c r="A167" t="s">
        <v>170</v>
      </c>
      <c r="C167" s="10">
        <v>5728</v>
      </c>
      <c r="D167">
        <v>2019</v>
      </c>
      <c r="E167" cm="1">
        <f t="array" aca="1" ref="E167" ca="1">SUMPRODUCT(SUBTOTAL(3,OFFSET($C$2:$C$288,ROW($C$2:$C$248)-MIN(ROW($C$2:$C$248)),0,1)),--(C167&lt;$C$2:$C$248))+1</f>
        <v>22</v>
      </c>
      <c r="F167">
        <v>167</v>
      </c>
      <c r="G167" s="27"/>
    </row>
    <row r="168" spans="1:7" hidden="1" x14ac:dyDescent="0.2">
      <c r="A168" t="s">
        <v>171</v>
      </c>
      <c r="C168" s="10">
        <v>5535</v>
      </c>
      <c r="D168">
        <v>2019</v>
      </c>
      <c r="E168" cm="1">
        <f t="array" aca="1" ref="E168" ca="1">SUMPRODUCT(SUBTOTAL(3,OFFSET($C$2:$C$288,ROW($C$2:$C$248)-MIN(ROW($C$2:$C$248)),0,1)),--(C168&lt;$C$2:$C$248))+1</f>
        <v>22</v>
      </c>
      <c r="F168">
        <v>168</v>
      </c>
      <c r="G168" s="27"/>
    </row>
    <row r="169" spans="1:7" hidden="1" x14ac:dyDescent="0.2">
      <c r="A169" t="s">
        <v>172</v>
      </c>
      <c r="C169" s="10">
        <v>5413</v>
      </c>
      <c r="D169">
        <v>2019</v>
      </c>
      <c r="E169" cm="1">
        <f t="array" aca="1" ref="E169" ca="1">SUMPRODUCT(SUBTOTAL(3,OFFSET($C$2:$C$288,ROW($C$2:$C$248)-MIN(ROW($C$2:$C$248)),0,1)),--(C169&lt;$C$2:$C$248))+1</f>
        <v>22</v>
      </c>
      <c r="F169">
        <v>169</v>
      </c>
      <c r="G169" s="27"/>
    </row>
    <row r="170" spans="1:7" hidden="1" x14ac:dyDescent="0.2">
      <c r="A170" t="s">
        <v>173</v>
      </c>
      <c r="C170" s="10">
        <v>5407</v>
      </c>
      <c r="D170">
        <v>2019</v>
      </c>
      <c r="E170" cm="1">
        <f t="array" aca="1" ref="E170" ca="1">SUMPRODUCT(SUBTOTAL(3,OFFSET($C$2:$C$288,ROW($C$2:$C$248)-MIN(ROW($C$2:$C$248)),0,1)),--(C170&lt;$C$2:$C$248))+1</f>
        <v>22</v>
      </c>
      <c r="F170">
        <v>170</v>
      </c>
      <c r="G170" s="27"/>
    </row>
    <row r="171" spans="1:7" hidden="1" x14ac:dyDescent="0.2">
      <c r="A171" t="s">
        <v>174</v>
      </c>
      <c r="C171" s="10">
        <v>5253</v>
      </c>
      <c r="D171">
        <v>2019</v>
      </c>
      <c r="E171" cm="1">
        <f t="array" aca="1" ref="E171" ca="1">SUMPRODUCT(SUBTOTAL(3,OFFSET($C$2:$C$288,ROW($C$2:$C$248)-MIN(ROW($C$2:$C$248)),0,1)),--(C171&lt;$C$2:$C$248))+1</f>
        <v>22</v>
      </c>
      <c r="F171">
        <v>171</v>
      </c>
      <c r="G171" s="27"/>
    </row>
    <row r="172" spans="1:7" hidden="1" x14ac:dyDescent="0.2">
      <c r="A172" t="s">
        <v>175</v>
      </c>
      <c r="C172" s="10">
        <v>5213</v>
      </c>
      <c r="D172">
        <v>2019</v>
      </c>
      <c r="E172" cm="1">
        <f t="array" aca="1" ref="E172" ca="1">SUMPRODUCT(SUBTOTAL(3,OFFSET($C$2:$C$288,ROW($C$2:$C$248)-MIN(ROW($C$2:$C$248)),0,1)),--(C172&lt;$C$2:$C$248))+1</f>
        <v>22</v>
      </c>
      <c r="F172">
        <v>172</v>
      </c>
      <c r="G172" s="27"/>
    </row>
    <row r="173" spans="1:7" hidden="1" x14ac:dyDescent="0.2">
      <c r="A173" t="s">
        <v>176</v>
      </c>
      <c r="C173" s="10">
        <v>5197</v>
      </c>
      <c r="D173">
        <v>2019</v>
      </c>
      <c r="E173" cm="1">
        <f t="array" aca="1" ref="E173" ca="1">SUMPRODUCT(SUBTOTAL(3,OFFSET($C$2:$C$288,ROW($C$2:$C$248)-MIN(ROW($C$2:$C$248)),0,1)),--(C173&lt;$C$2:$C$248))+1</f>
        <v>22</v>
      </c>
      <c r="F173">
        <v>173</v>
      </c>
      <c r="G173" s="27"/>
    </row>
    <row r="174" spans="1:7" hidden="1" x14ac:dyDescent="0.2">
      <c r="A174" t="s">
        <v>177</v>
      </c>
      <c r="C174" s="10">
        <v>5142</v>
      </c>
      <c r="D174">
        <v>2019</v>
      </c>
      <c r="E174" cm="1">
        <f t="array" aca="1" ref="E174" ca="1">SUMPRODUCT(SUBTOTAL(3,OFFSET($C$2:$C$288,ROW($C$2:$C$248)-MIN(ROW($C$2:$C$248)),0,1)),--(C174&lt;$C$2:$C$248))+1</f>
        <v>22</v>
      </c>
      <c r="F174">
        <v>174</v>
      </c>
      <c r="G174" s="27"/>
    </row>
    <row r="175" spans="1:7" hidden="1" x14ac:dyDescent="0.2">
      <c r="A175" t="s">
        <v>178</v>
      </c>
      <c r="C175" s="10">
        <v>5136</v>
      </c>
      <c r="D175">
        <v>2019</v>
      </c>
      <c r="E175" cm="1">
        <f t="array" aca="1" ref="E175" ca="1">SUMPRODUCT(SUBTOTAL(3,OFFSET($C$2:$C$288,ROW($C$2:$C$248)-MIN(ROW($C$2:$C$248)),0,1)),--(C175&lt;$C$2:$C$248))+1</f>
        <v>22</v>
      </c>
      <c r="F175">
        <v>175</v>
      </c>
      <c r="G175" s="27"/>
    </row>
    <row r="176" spans="1:7" hidden="1" x14ac:dyDescent="0.2">
      <c r="A176" t="s">
        <v>179</v>
      </c>
      <c r="C176" s="10">
        <v>4754</v>
      </c>
      <c r="D176">
        <v>2019</v>
      </c>
      <c r="E176" cm="1">
        <f t="array" aca="1" ref="E176" ca="1">SUMPRODUCT(SUBTOTAL(3,OFFSET($C$2:$C$288,ROW($C$2:$C$248)-MIN(ROW($C$2:$C$248)),0,1)),--(C176&lt;$C$2:$C$248))+1</f>
        <v>22</v>
      </c>
      <c r="F176">
        <v>176</v>
      </c>
      <c r="G176" s="27"/>
    </row>
    <row r="177" spans="1:7" hidden="1" x14ac:dyDescent="0.2">
      <c r="A177" t="s">
        <v>180</v>
      </c>
      <c r="C177" s="10">
        <v>4690</v>
      </c>
      <c r="D177">
        <v>2019</v>
      </c>
      <c r="E177" cm="1">
        <f t="array" aca="1" ref="E177" ca="1">SUMPRODUCT(SUBTOTAL(3,OFFSET($C$2:$C$288,ROW($C$2:$C$248)-MIN(ROW($C$2:$C$248)),0,1)),--(C177&lt;$C$2:$C$248))+1</f>
        <v>22</v>
      </c>
      <c r="F177">
        <v>177</v>
      </c>
      <c r="G177" s="27"/>
    </row>
    <row r="178" spans="1:7" hidden="1" x14ac:dyDescent="0.2">
      <c r="A178" t="s">
        <v>181</v>
      </c>
      <c r="C178" s="10">
        <v>4389</v>
      </c>
      <c r="D178">
        <v>2019</v>
      </c>
      <c r="E178" cm="1">
        <f t="array" aca="1" ref="E178" ca="1">SUMPRODUCT(SUBTOTAL(3,OFFSET($C$2:$C$288,ROW($C$2:$C$248)-MIN(ROW($C$2:$C$248)),0,1)),--(C178&lt;$C$2:$C$248))+1</f>
        <v>22</v>
      </c>
      <c r="F178">
        <v>178</v>
      </c>
      <c r="G178" s="27"/>
    </row>
    <row r="179" spans="1:7" hidden="1" x14ac:dyDescent="0.2">
      <c r="A179" t="s">
        <v>182</v>
      </c>
      <c r="C179" s="10">
        <v>4355</v>
      </c>
      <c r="D179">
        <v>2019</v>
      </c>
      <c r="E179" cm="1">
        <f t="array" aca="1" ref="E179" ca="1">SUMPRODUCT(SUBTOTAL(3,OFFSET($C$2:$C$288,ROW($C$2:$C$248)-MIN(ROW($C$2:$C$248)),0,1)),--(C179&lt;$C$2:$C$248))+1</f>
        <v>22</v>
      </c>
      <c r="F179">
        <v>179</v>
      </c>
      <c r="G179" s="27"/>
    </row>
    <row r="180" spans="1:7" hidden="1" x14ac:dyDescent="0.2">
      <c r="A180" t="s">
        <v>183</v>
      </c>
      <c r="C180" s="10">
        <v>4330</v>
      </c>
      <c r="D180">
        <v>2019</v>
      </c>
      <c r="E180" cm="1">
        <f t="array" aca="1" ref="E180" ca="1">SUMPRODUCT(SUBTOTAL(3,OFFSET($C$2:$C$288,ROW($C$2:$C$248)-MIN(ROW($C$2:$C$248)),0,1)),--(C180&lt;$C$2:$C$248))+1</f>
        <v>22</v>
      </c>
      <c r="F180">
        <v>180</v>
      </c>
      <c r="G180" s="27"/>
    </row>
    <row r="181" spans="1:7" hidden="1" x14ac:dyDescent="0.2">
      <c r="A181" t="s">
        <v>184</v>
      </c>
      <c r="C181" s="10">
        <v>4281</v>
      </c>
      <c r="D181">
        <v>2019</v>
      </c>
      <c r="E181" cm="1">
        <f t="array" aca="1" ref="E181" ca="1">SUMPRODUCT(SUBTOTAL(3,OFFSET($C$2:$C$288,ROW($C$2:$C$248)-MIN(ROW($C$2:$C$248)),0,1)),--(C181&lt;$C$2:$C$248))+1</f>
        <v>22</v>
      </c>
      <c r="F181">
        <v>181</v>
      </c>
      <c r="G181" s="27"/>
    </row>
    <row r="182" spans="1:7" hidden="1" x14ac:dyDescent="0.2">
      <c r="A182" t="s">
        <v>185</v>
      </c>
      <c r="C182" s="10">
        <v>3970</v>
      </c>
      <c r="D182">
        <v>2019</v>
      </c>
      <c r="E182" cm="1">
        <f t="array" aca="1" ref="E182" ca="1">SUMPRODUCT(SUBTOTAL(3,OFFSET($C$2:$C$288,ROW($C$2:$C$248)-MIN(ROW($C$2:$C$248)),0,1)),--(C182&lt;$C$2:$C$248))+1</f>
        <v>22</v>
      </c>
      <c r="F182">
        <v>182</v>
      </c>
      <c r="G182" s="27"/>
    </row>
    <row r="183" spans="1:7" hidden="1" x14ac:dyDescent="0.2">
      <c r="A183" t="s">
        <v>186</v>
      </c>
      <c r="C183" s="10">
        <v>3958</v>
      </c>
      <c r="D183">
        <v>2019</v>
      </c>
      <c r="E183" cm="1">
        <f t="array" aca="1" ref="E183" ca="1">SUMPRODUCT(SUBTOTAL(3,OFFSET($C$2:$C$288,ROW($C$2:$C$248)-MIN(ROW($C$2:$C$248)),0,1)),--(C183&lt;$C$2:$C$248))+1</f>
        <v>22</v>
      </c>
      <c r="F183">
        <v>183</v>
      </c>
      <c r="G183" s="27"/>
    </row>
    <row r="184" spans="1:7" hidden="1" x14ac:dyDescent="0.2">
      <c r="A184" t="s">
        <v>187</v>
      </c>
      <c r="C184">
        <v>3889</v>
      </c>
      <c r="D184">
        <v>2018</v>
      </c>
      <c r="E184" cm="1">
        <f t="array" aca="1" ref="E184" ca="1">SUMPRODUCT(SUBTOTAL(3,OFFSET($C$2:$C$288,ROW($C$2:$C$248)-MIN(ROW($C$2:$C$248)),0,1)),--(C184&lt;$C$2:$C$248))+1</f>
        <v>22</v>
      </c>
      <c r="F184">
        <v>184</v>
      </c>
      <c r="G184" s="27"/>
    </row>
    <row r="185" spans="1:7" hidden="1" x14ac:dyDescent="0.2">
      <c r="A185" t="s">
        <v>188</v>
      </c>
      <c r="C185">
        <v>3800</v>
      </c>
      <c r="D185">
        <v>2004</v>
      </c>
      <c r="E185" cm="1">
        <f t="array" aca="1" ref="E185" ca="1">SUMPRODUCT(SUBTOTAL(3,OFFSET($C$2:$C$288,ROW($C$2:$C$248)-MIN(ROW($C$2:$C$248)),0,1)),--(C185&lt;$C$2:$C$248))+1</f>
        <v>22</v>
      </c>
      <c r="F185">
        <v>185</v>
      </c>
      <c r="G185" s="27"/>
    </row>
    <row r="186" spans="1:7" hidden="1" x14ac:dyDescent="0.2">
      <c r="A186" t="s">
        <v>189</v>
      </c>
      <c r="C186" s="10">
        <v>3673</v>
      </c>
      <c r="D186">
        <v>2019</v>
      </c>
      <c r="E186" cm="1">
        <f t="array" aca="1" ref="E186" ca="1">SUMPRODUCT(SUBTOTAL(3,OFFSET($C$2:$C$288,ROW($C$2:$C$248)-MIN(ROW($C$2:$C$248)),0,1)),--(C186&lt;$C$2:$C$248))+1</f>
        <v>22</v>
      </c>
      <c r="F186">
        <v>186</v>
      </c>
      <c r="G186" s="27"/>
    </row>
    <row r="187" spans="1:7" hidden="1" x14ac:dyDescent="0.2">
      <c r="A187" t="s">
        <v>190</v>
      </c>
      <c r="C187" s="10">
        <v>3642</v>
      </c>
      <c r="D187">
        <v>2019</v>
      </c>
      <c r="E187" cm="1">
        <f t="array" aca="1" ref="E187" ca="1">SUMPRODUCT(SUBTOTAL(3,OFFSET($C$2:$C$288,ROW($C$2:$C$248)-MIN(ROW($C$2:$C$248)),0,1)),--(C187&lt;$C$2:$C$248))+1</f>
        <v>22</v>
      </c>
      <c r="F187">
        <v>187</v>
      </c>
      <c r="G187" s="27"/>
    </row>
    <row r="188" spans="1:7" hidden="1" x14ac:dyDescent="0.2">
      <c r="A188" t="s">
        <v>191</v>
      </c>
      <c r="C188" s="10">
        <v>3553</v>
      </c>
      <c r="D188">
        <v>2019</v>
      </c>
      <c r="E188" cm="1">
        <f t="array" aca="1" ref="E188" ca="1">SUMPRODUCT(SUBTOTAL(3,OFFSET($C$2:$C$288,ROW($C$2:$C$248)-MIN(ROW($C$2:$C$248)),0,1)),--(C188&lt;$C$2:$C$248))+1</f>
        <v>22</v>
      </c>
      <c r="F188">
        <v>188</v>
      </c>
      <c r="G188" s="27"/>
    </row>
    <row r="189" spans="1:7" hidden="1" x14ac:dyDescent="0.2">
      <c r="A189" t="s">
        <v>192</v>
      </c>
      <c r="C189" s="10">
        <v>3470</v>
      </c>
      <c r="D189">
        <v>2019</v>
      </c>
      <c r="E189" cm="1">
        <f t="array" aca="1" ref="E189" ca="1">SUMPRODUCT(SUBTOTAL(3,OFFSET($C$2:$C$288,ROW($C$2:$C$248)-MIN(ROW($C$2:$C$248)),0,1)),--(C189&lt;$C$2:$C$248))+1</f>
        <v>22</v>
      </c>
      <c r="F189">
        <v>189</v>
      </c>
      <c r="G189" s="27"/>
    </row>
    <row r="190" spans="1:7" hidden="1" x14ac:dyDescent="0.2">
      <c r="A190" t="s">
        <v>193</v>
      </c>
      <c r="C190">
        <v>3464</v>
      </c>
      <c r="D190">
        <v>2018</v>
      </c>
      <c r="E190" cm="1">
        <f t="array" aca="1" ref="E190" ca="1">SUMPRODUCT(SUBTOTAL(3,OFFSET($C$2:$C$288,ROW($C$2:$C$248)-MIN(ROW($C$2:$C$248)),0,1)),--(C190&lt;$C$2:$C$248))+1</f>
        <v>22</v>
      </c>
      <c r="F190">
        <v>190</v>
      </c>
      <c r="G190" s="27"/>
    </row>
    <row r="191" spans="1:7" hidden="1" x14ac:dyDescent="0.2">
      <c r="A191" t="s">
        <v>194</v>
      </c>
      <c r="C191" s="10">
        <v>3417</v>
      </c>
      <c r="D191">
        <v>2019</v>
      </c>
      <c r="E191" cm="1">
        <f t="array" aca="1" ref="E191" ca="1">SUMPRODUCT(SUBTOTAL(3,OFFSET($C$2:$C$288,ROW($C$2:$C$248)-MIN(ROW($C$2:$C$248)),0,1)),--(C191&lt;$C$2:$C$248))+1</f>
        <v>22</v>
      </c>
      <c r="F191">
        <v>191</v>
      </c>
      <c r="G191" s="27"/>
    </row>
    <row r="192" spans="1:7" hidden="1" x14ac:dyDescent="0.2">
      <c r="A192" t="s">
        <v>195</v>
      </c>
      <c r="C192" s="10">
        <v>3395</v>
      </c>
      <c r="D192">
        <v>2019</v>
      </c>
      <c r="E192" cm="1">
        <f t="array" aca="1" ref="E192" ca="1">SUMPRODUCT(SUBTOTAL(3,OFFSET($C$2:$C$288,ROW($C$2:$C$248)-MIN(ROW($C$2:$C$248)),0,1)),--(C192&lt;$C$2:$C$248))+1</f>
        <v>22</v>
      </c>
      <c r="F192">
        <v>192</v>
      </c>
      <c r="G192" s="27"/>
    </row>
    <row r="193" spans="1:7" hidden="1" x14ac:dyDescent="0.2">
      <c r="A193" t="s">
        <v>196</v>
      </c>
      <c r="C193" s="10">
        <v>3380</v>
      </c>
      <c r="D193">
        <v>2019</v>
      </c>
      <c r="E193" cm="1">
        <f t="array" aca="1" ref="E193" ca="1">SUMPRODUCT(SUBTOTAL(3,OFFSET($C$2:$C$288,ROW($C$2:$C$248)-MIN(ROW($C$2:$C$248)),0,1)),--(C193&lt;$C$2:$C$248))+1</f>
        <v>22</v>
      </c>
      <c r="F193">
        <v>193</v>
      </c>
      <c r="G193" s="27"/>
    </row>
    <row r="194" spans="1:7" hidden="1" x14ac:dyDescent="0.2">
      <c r="A194" t="s">
        <v>197</v>
      </c>
      <c r="C194" s="10">
        <v>3287</v>
      </c>
      <c r="D194">
        <v>2019</v>
      </c>
      <c r="E194" cm="1">
        <f t="array" aca="1" ref="E194" ca="1">SUMPRODUCT(SUBTOTAL(3,OFFSET($C$2:$C$288,ROW($C$2:$C$248)-MIN(ROW($C$2:$C$248)),0,1)),--(C194&lt;$C$2:$C$248))+1</f>
        <v>22</v>
      </c>
      <c r="F194">
        <v>194</v>
      </c>
      <c r="G194" s="27"/>
    </row>
    <row r="195" spans="1:7" hidden="1" x14ac:dyDescent="0.2">
      <c r="A195" t="s">
        <v>198</v>
      </c>
      <c r="C195" s="10">
        <v>3153</v>
      </c>
      <c r="D195">
        <v>2019</v>
      </c>
      <c r="E195" cm="1">
        <f t="array" aca="1" ref="E195" ca="1">SUMPRODUCT(SUBTOTAL(3,OFFSET($C$2:$C$288,ROW($C$2:$C$248)-MIN(ROW($C$2:$C$248)),0,1)),--(C195&lt;$C$2:$C$248))+1</f>
        <v>22</v>
      </c>
      <c r="F195">
        <v>195</v>
      </c>
      <c r="G195" s="27"/>
    </row>
    <row r="196" spans="1:7" hidden="1" x14ac:dyDescent="0.2">
      <c r="A196" t="s">
        <v>199</v>
      </c>
      <c r="C196" s="10">
        <v>3060</v>
      </c>
      <c r="D196">
        <v>2019</v>
      </c>
      <c r="E196" cm="1">
        <f t="array" aca="1" ref="E196" ca="1">SUMPRODUCT(SUBTOTAL(3,OFFSET($C$2:$C$288,ROW($C$2:$C$248)-MIN(ROW($C$2:$C$248)),0,1)),--(C196&lt;$C$2:$C$248))+1</f>
        <v>22</v>
      </c>
      <c r="F196">
        <v>196</v>
      </c>
      <c r="G196" s="27"/>
    </row>
    <row r="197" spans="1:7" hidden="1" x14ac:dyDescent="0.2">
      <c r="A197" t="s">
        <v>200</v>
      </c>
      <c r="C197" s="10">
        <v>2905</v>
      </c>
      <c r="D197">
        <v>2019</v>
      </c>
      <c r="E197" cm="1">
        <f t="array" aca="1" ref="E197" ca="1">SUMPRODUCT(SUBTOTAL(3,OFFSET($C$2:$C$288,ROW($C$2:$C$248)-MIN(ROW($C$2:$C$248)),0,1)),--(C197&lt;$C$2:$C$248))+1</f>
        <v>22</v>
      </c>
      <c r="F197">
        <v>197</v>
      </c>
      <c r="G197" s="27"/>
    </row>
    <row r="198" spans="1:7" hidden="1" x14ac:dyDescent="0.2">
      <c r="A198" t="s">
        <v>201</v>
      </c>
      <c r="C198">
        <v>2900</v>
      </c>
      <c r="D198">
        <v>2015</v>
      </c>
      <c r="E198" cm="1">
        <f t="array" aca="1" ref="E198" ca="1">SUMPRODUCT(SUBTOTAL(3,OFFSET($C$2:$C$288,ROW($C$2:$C$248)-MIN(ROW($C$2:$C$248)),0,1)),--(C198&lt;$C$2:$C$248))+1</f>
        <v>22</v>
      </c>
      <c r="F198">
        <v>198</v>
      </c>
      <c r="G198" s="27"/>
    </row>
    <row r="199" spans="1:7" hidden="1" x14ac:dyDescent="0.2">
      <c r="A199" t="s">
        <v>202</v>
      </c>
      <c r="C199" s="10">
        <v>2836</v>
      </c>
      <c r="D199">
        <v>2019</v>
      </c>
      <c r="E199" cm="1">
        <f t="array" aca="1" ref="E199" ca="1">SUMPRODUCT(SUBTOTAL(3,OFFSET($C$2:$C$288,ROW($C$2:$C$248)-MIN(ROW($C$2:$C$248)),0,1)),--(C199&lt;$C$2:$C$248))+1</f>
        <v>22</v>
      </c>
      <c r="F199">
        <v>199</v>
      </c>
      <c r="G199" s="27"/>
    </row>
    <row r="200" spans="1:7" hidden="1" x14ac:dyDescent="0.2">
      <c r="A200" t="s">
        <v>203</v>
      </c>
      <c r="C200" s="10">
        <v>2704</v>
      </c>
      <c r="D200">
        <v>2019</v>
      </c>
      <c r="E200" cm="1">
        <f t="array" aca="1" ref="E200" ca="1">SUMPRODUCT(SUBTOTAL(3,OFFSET($C$2:$C$288,ROW($C$2:$C$248)-MIN(ROW($C$2:$C$248)),0,1)),--(C200&lt;$C$2:$C$248))+1</f>
        <v>22</v>
      </c>
      <c r="F200">
        <v>200</v>
      </c>
      <c r="G200" s="27"/>
    </row>
    <row r="201" spans="1:7" hidden="1" x14ac:dyDescent="0.2">
      <c r="A201" t="s">
        <v>204</v>
      </c>
      <c r="C201" s="10">
        <v>2663</v>
      </c>
      <c r="D201">
        <v>2019</v>
      </c>
      <c r="E201" cm="1">
        <f t="array" aca="1" ref="E201" ca="1">SUMPRODUCT(SUBTOTAL(3,OFFSET($C$2:$C$288,ROW($C$2:$C$248)-MIN(ROW($C$2:$C$248)),0,1)),--(C201&lt;$C$2:$C$248))+1</f>
        <v>22</v>
      </c>
      <c r="F201">
        <v>201</v>
      </c>
      <c r="G201" s="27"/>
    </row>
    <row r="202" spans="1:7" hidden="1" x14ac:dyDescent="0.2">
      <c r="A202" t="s">
        <v>205</v>
      </c>
      <c r="C202" s="10">
        <v>2660</v>
      </c>
      <c r="D202">
        <v>2019</v>
      </c>
      <c r="E202" cm="1">
        <f t="array" aca="1" ref="E202" ca="1">SUMPRODUCT(SUBTOTAL(3,OFFSET($C$2:$C$288,ROW($C$2:$C$248)-MIN(ROW($C$2:$C$248)),0,1)),--(C202&lt;$C$2:$C$248))+1</f>
        <v>22</v>
      </c>
      <c r="F202">
        <v>202</v>
      </c>
      <c r="G202" s="27"/>
    </row>
    <row r="203" spans="1:7" hidden="1" x14ac:dyDescent="0.2">
      <c r="A203" t="s">
        <v>206</v>
      </c>
      <c r="C203" s="10">
        <v>2562</v>
      </c>
      <c r="D203">
        <v>2019</v>
      </c>
      <c r="E203" cm="1">
        <f t="array" aca="1" ref="E203" ca="1">SUMPRODUCT(SUBTOTAL(3,OFFSET($C$2:$C$288,ROW($C$2:$C$248)-MIN(ROW($C$2:$C$248)),0,1)),--(C203&lt;$C$2:$C$248))+1</f>
        <v>22</v>
      </c>
      <c r="F203">
        <v>203</v>
      </c>
      <c r="G203" s="27"/>
    </row>
    <row r="204" spans="1:7" hidden="1" x14ac:dyDescent="0.2">
      <c r="A204" t="s">
        <v>207</v>
      </c>
      <c r="C204">
        <v>2500</v>
      </c>
      <c r="D204">
        <v>2017</v>
      </c>
      <c r="E204" cm="1">
        <f t="array" aca="1" ref="E204" ca="1">SUMPRODUCT(SUBTOTAL(3,OFFSET($C$2:$C$288,ROW($C$2:$C$248)-MIN(ROW($C$2:$C$248)),0,1)),--(C204&lt;$C$2:$C$248))+1</f>
        <v>22</v>
      </c>
      <c r="F204">
        <v>204</v>
      </c>
      <c r="G204" s="27"/>
    </row>
    <row r="205" spans="1:7" hidden="1" x14ac:dyDescent="0.2">
      <c r="A205" t="s">
        <v>208</v>
      </c>
      <c r="C205" s="10">
        <v>2322</v>
      </c>
      <c r="D205">
        <v>2019</v>
      </c>
      <c r="E205" cm="1">
        <f t="array" aca="1" ref="E205" ca="1">SUMPRODUCT(SUBTOTAL(3,OFFSET($C$2:$C$288,ROW($C$2:$C$248)-MIN(ROW($C$2:$C$248)),0,1)),--(C205&lt;$C$2:$C$248))+1</f>
        <v>22</v>
      </c>
      <c r="F205">
        <v>205</v>
      </c>
      <c r="G205" s="27"/>
    </row>
    <row r="206" spans="1:7" hidden="1" x14ac:dyDescent="0.2">
      <c r="A206" t="s">
        <v>209</v>
      </c>
      <c r="C206" s="10">
        <v>2272</v>
      </c>
      <c r="D206">
        <v>2019</v>
      </c>
      <c r="E206" cm="1">
        <f t="array" aca="1" ref="E206" ca="1">SUMPRODUCT(SUBTOTAL(3,OFFSET($C$2:$C$288,ROW($C$2:$C$248)-MIN(ROW($C$2:$C$248)),0,1)),--(C206&lt;$C$2:$C$248))+1</f>
        <v>22</v>
      </c>
      <c r="F206">
        <v>206</v>
      </c>
      <c r="G206" s="27"/>
    </row>
    <row r="207" spans="1:7" hidden="1" x14ac:dyDescent="0.2">
      <c r="A207" t="s">
        <v>210</v>
      </c>
      <c r="C207" s="10">
        <v>2227</v>
      </c>
      <c r="D207">
        <v>2019</v>
      </c>
      <c r="E207" cm="1">
        <f t="array" aca="1" ref="E207" ca="1">SUMPRODUCT(SUBTOTAL(3,OFFSET($C$2:$C$288,ROW($C$2:$C$248)-MIN(ROW($C$2:$C$248)),0,1)),--(C207&lt;$C$2:$C$248))+1</f>
        <v>22</v>
      </c>
      <c r="F207">
        <v>207</v>
      </c>
      <c r="G207" s="27"/>
    </row>
    <row r="208" spans="1:7" hidden="1" x14ac:dyDescent="0.2">
      <c r="A208" t="s">
        <v>211</v>
      </c>
      <c r="C208" s="10">
        <v>2223</v>
      </c>
      <c r="D208">
        <v>2019</v>
      </c>
      <c r="E208" cm="1">
        <f t="array" aca="1" ref="E208" ca="1">SUMPRODUCT(SUBTOTAL(3,OFFSET($C$2:$C$288,ROW($C$2:$C$248)-MIN(ROW($C$2:$C$248)),0,1)),--(C208&lt;$C$2:$C$248))+1</f>
        <v>22</v>
      </c>
      <c r="F208">
        <v>208</v>
      </c>
      <c r="G208" s="27"/>
    </row>
    <row r="209" spans="1:7" hidden="1" x14ac:dyDescent="0.2">
      <c r="A209" t="s">
        <v>212</v>
      </c>
      <c r="C209" s="10">
        <v>2221</v>
      </c>
      <c r="D209">
        <v>2019</v>
      </c>
      <c r="E209" cm="1">
        <f t="array" aca="1" ref="E209" ca="1">SUMPRODUCT(SUBTOTAL(3,OFFSET($C$2:$C$288,ROW($C$2:$C$248)-MIN(ROW($C$2:$C$248)),0,1)),--(C209&lt;$C$2:$C$248))+1</f>
        <v>22</v>
      </c>
      <c r="F209">
        <v>209</v>
      </c>
      <c r="G209" s="27"/>
    </row>
    <row r="210" spans="1:7" hidden="1" x14ac:dyDescent="0.2">
      <c r="A210" t="s">
        <v>213</v>
      </c>
      <c r="C210" s="10">
        <v>2187</v>
      </c>
      <c r="D210">
        <v>2019</v>
      </c>
      <c r="E210" cm="1">
        <f t="array" aca="1" ref="E210" ca="1">SUMPRODUCT(SUBTOTAL(3,OFFSET($C$2:$C$288,ROW($C$2:$C$248)-MIN(ROW($C$2:$C$248)),0,1)),--(C210&lt;$C$2:$C$248))+1</f>
        <v>22</v>
      </c>
      <c r="F210">
        <v>210</v>
      </c>
      <c r="G210" s="27"/>
    </row>
    <row r="211" spans="1:7" hidden="1" x14ac:dyDescent="0.2">
      <c r="A211" t="s">
        <v>214</v>
      </c>
      <c r="C211" s="10">
        <v>2178</v>
      </c>
      <c r="D211">
        <v>2019</v>
      </c>
      <c r="E211" cm="1">
        <f t="array" aca="1" ref="E211" ca="1">SUMPRODUCT(SUBTOTAL(3,OFFSET($C$2:$C$288,ROW($C$2:$C$248)-MIN(ROW($C$2:$C$248)),0,1)),--(C211&lt;$C$2:$C$248))+1</f>
        <v>22</v>
      </c>
      <c r="F211">
        <v>211</v>
      </c>
      <c r="G211" s="27"/>
    </row>
    <row r="212" spans="1:7" hidden="1" x14ac:dyDescent="0.2">
      <c r="A212" t="s">
        <v>215</v>
      </c>
      <c r="C212" s="10">
        <v>2065</v>
      </c>
      <c r="D212">
        <v>2019</v>
      </c>
      <c r="E212" cm="1">
        <f t="array" aca="1" ref="E212" ca="1">SUMPRODUCT(SUBTOTAL(3,OFFSET($C$2:$C$288,ROW($C$2:$C$248)-MIN(ROW($C$2:$C$248)),0,1)),--(C212&lt;$C$2:$C$248))+1</f>
        <v>22</v>
      </c>
      <c r="F212">
        <v>212</v>
      </c>
      <c r="G212" s="27"/>
    </row>
    <row r="213" spans="1:7" hidden="1" x14ac:dyDescent="0.2">
      <c r="A213" t="s">
        <v>216</v>
      </c>
      <c r="C213" s="10">
        <v>1989</v>
      </c>
      <c r="D213">
        <v>2019</v>
      </c>
      <c r="E213" cm="1">
        <f t="array" aca="1" ref="E213" ca="1">SUMPRODUCT(SUBTOTAL(3,OFFSET($C$2:$C$288,ROW($C$2:$C$248)-MIN(ROW($C$2:$C$248)),0,1)),--(C213&lt;$C$2:$C$248))+1</f>
        <v>22</v>
      </c>
      <c r="F213">
        <v>213</v>
      </c>
      <c r="G213" s="27"/>
    </row>
    <row r="214" spans="1:7" hidden="1" x14ac:dyDescent="0.2">
      <c r="A214" t="s">
        <v>217</v>
      </c>
      <c r="C214" s="10">
        <v>1718</v>
      </c>
      <c r="D214">
        <v>2019</v>
      </c>
      <c r="E214" cm="1">
        <f t="array" aca="1" ref="E214" ca="1">SUMPRODUCT(SUBTOTAL(3,OFFSET($C$2:$C$288,ROW($C$2:$C$248)-MIN(ROW($C$2:$C$248)),0,1)),--(C214&lt;$C$2:$C$248))+1</f>
        <v>22</v>
      </c>
      <c r="F214">
        <v>214</v>
      </c>
      <c r="G214" s="27"/>
    </row>
    <row r="215" spans="1:7" hidden="1" x14ac:dyDescent="0.2">
      <c r="A215" t="s">
        <v>218</v>
      </c>
      <c r="C215">
        <v>1700</v>
      </c>
      <c r="D215">
        <v>2015</v>
      </c>
      <c r="E215" cm="1">
        <f t="array" aca="1" ref="E215" ca="1">SUMPRODUCT(SUBTOTAL(3,OFFSET($C$2:$C$288,ROW($C$2:$C$248)-MIN(ROW($C$2:$C$248)),0,1)),--(C215&lt;$C$2:$C$248))+1</f>
        <v>22</v>
      </c>
      <c r="F215">
        <v>215</v>
      </c>
      <c r="G215" s="27"/>
    </row>
    <row r="216" spans="1:7" hidden="1" x14ac:dyDescent="0.2">
      <c r="A216" t="s">
        <v>219</v>
      </c>
      <c r="C216" s="10">
        <v>1647</v>
      </c>
      <c r="D216">
        <v>2019</v>
      </c>
      <c r="E216" cm="1">
        <f t="array" aca="1" ref="E216" ca="1">SUMPRODUCT(SUBTOTAL(3,OFFSET($C$2:$C$288,ROW($C$2:$C$248)-MIN(ROW($C$2:$C$248)),0,1)),--(C216&lt;$C$2:$C$248))+1</f>
        <v>22</v>
      </c>
      <c r="F216">
        <v>216</v>
      </c>
      <c r="G216" s="27"/>
    </row>
    <row r="217" spans="1:7" hidden="1" x14ac:dyDescent="0.2">
      <c r="A217" t="s">
        <v>220</v>
      </c>
      <c r="C217" s="10">
        <v>1600</v>
      </c>
      <c r="D217">
        <v>2019</v>
      </c>
      <c r="E217" cm="1">
        <f t="array" aca="1" ref="E217" ca="1">SUMPRODUCT(SUBTOTAL(3,OFFSET($C$2:$C$288,ROW($C$2:$C$248)-MIN(ROW($C$2:$C$248)),0,1)),--(C217&lt;$C$2:$C$248))+1</f>
        <v>22</v>
      </c>
      <c r="F217">
        <v>217</v>
      </c>
      <c r="G217" s="27"/>
    </row>
    <row r="218" spans="1:7" hidden="1" x14ac:dyDescent="0.2">
      <c r="A218" t="s">
        <v>221</v>
      </c>
      <c r="C218">
        <v>1600</v>
      </c>
      <c r="D218">
        <v>2017</v>
      </c>
      <c r="E218" cm="1">
        <f t="array" aca="1" ref="E218" ca="1">SUMPRODUCT(SUBTOTAL(3,OFFSET($C$2:$C$288,ROW($C$2:$C$248)-MIN(ROW($C$2:$C$248)),0,1)),--(C218&lt;$C$2:$C$248))+1</f>
        <v>22</v>
      </c>
      <c r="F218">
        <v>218</v>
      </c>
      <c r="G218" s="27"/>
    </row>
    <row r="219" spans="1:7" hidden="1" x14ac:dyDescent="0.2">
      <c r="A219" t="s">
        <v>222</v>
      </c>
      <c r="C219" s="10">
        <v>1597</v>
      </c>
      <c r="D219">
        <v>2019</v>
      </c>
      <c r="E219" cm="1">
        <f t="array" aca="1" ref="E219" ca="1">SUMPRODUCT(SUBTOTAL(3,OFFSET($C$2:$C$288,ROW($C$2:$C$248)-MIN(ROW($C$2:$C$248)),0,1)),--(C219&lt;$C$2:$C$248))+1</f>
        <v>22</v>
      </c>
      <c r="F219">
        <v>219</v>
      </c>
      <c r="G219" s="27"/>
    </row>
    <row r="220" spans="1:7" hidden="1" x14ac:dyDescent="0.2">
      <c r="A220" t="s">
        <v>223</v>
      </c>
      <c r="C220" s="10">
        <v>1580</v>
      </c>
      <c r="D220">
        <v>2019</v>
      </c>
      <c r="E220" cm="1">
        <f t="array" aca="1" ref="E220" ca="1">SUMPRODUCT(SUBTOTAL(3,OFFSET($C$2:$C$288,ROW($C$2:$C$248)-MIN(ROW($C$2:$C$248)),0,1)),--(C220&lt;$C$2:$C$248))+1</f>
        <v>22</v>
      </c>
      <c r="F220">
        <v>220</v>
      </c>
      <c r="G220" s="27"/>
    </row>
    <row r="221" spans="1:7" hidden="1" x14ac:dyDescent="0.2">
      <c r="A221" t="s">
        <v>224</v>
      </c>
      <c r="C221" s="10">
        <v>1428</v>
      </c>
      <c r="D221">
        <v>2019</v>
      </c>
      <c r="E221" cm="1">
        <f t="array" aca="1" ref="E221" ca="1">SUMPRODUCT(SUBTOTAL(3,OFFSET($C$2:$C$288,ROW($C$2:$C$248)-MIN(ROW($C$2:$C$248)),0,1)),--(C221&lt;$C$2:$C$248))+1</f>
        <v>22</v>
      </c>
      <c r="F221">
        <v>221</v>
      </c>
      <c r="G221" s="27"/>
    </row>
    <row r="222" spans="1:7" hidden="1" x14ac:dyDescent="0.2">
      <c r="A222" t="s">
        <v>225</v>
      </c>
      <c r="C222" s="10">
        <v>1281</v>
      </c>
      <c r="D222">
        <v>2019</v>
      </c>
      <c r="E222" cm="1">
        <f t="array" aca="1" ref="E222" ca="1">SUMPRODUCT(SUBTOTAL(3,OFFSET($C$2:$C$288,ROW($C$2:$C$248)-MIN(ROW($C$2:$C$248)),0,1)),--(C222&lt;$C$2:$C$248))+1</f>
        <v>22</v>
      </c>
      <c r="F222">
        <v>222</v>
      </c>
      <c r="G222" s="27"/>
    </row>
    <row r="223" spans="1:7" hidden="1" x14ac:dyDescent="0.2">
      <c r="A223" t="s">
        <v>226</v>
      </c>
      <c r="C223" s="10">
        <v>1225</v>
      </c>
      <c r="D223">
        <v>2019</v>
      </c>
      <c r="E223" cm="1">
        <f t="array" aca="1" ref="E223" ca="1">SUMPRODUCT(SUBTOTAL(3,OFFSET($C$2:$C$288,ROW($C$2:$C$248)-MIN(ROW($C$2:$C$248)),0,1)),--(C223&lt;$C$2:$C$248))+1</f>
        <v>22</v>
      </c>
      <c r="F223">
        <v>223</v>
      </c>
      <c r="G223" s="27"/>
    </row>
    <row r="224" spans="1:7" hidden="1" x14ac:dyDescent="0.2">
      <c r="A224" t="s">
        <v>227</v>
      </c>
      <c r="C224" s="10">
        <v>1098</v>
      </c>
      <c r="D224">
        <v>2019</v>
      </c>
      <c r="E224" cm="1">
        <f t="array" aca="1" ref="E224" ca="1">SUMPRODUCT(SUBTOTAL(3,OFFSET($C$2:$C$288,ROW($C$2:$C$248)-MIN(ROW($C$2:$C$248)),0,1)),--(C224&lt;$C$2:$C$248))+1</f>
        <v>22</v>
      </c>
      <c r="F224">
        <v>224</v>
      </c>
      <c r="G224" s="27"/>
    </row>
    <row r="225" spans="1:7" hidden="1" x14ac:dyDescent="0.2">
      <c r="A225" t="s">
        <v>228</v>
      </c>
      <c r="C225" s="10">
        <v>1060</v>
      </c>
      <c r="D225">
        <v>2019</v>
      </c>
      <c r="E225" cm="1">
        <f t="array" aca="1" ref="E225" ca="1">SUMPRODUCT(SUBTOTAL(3,OFFSET($C$2:$C$288,ROW($C$2:$C$248)-MIN(ROW($C$2:$C$248)),0,1)),--(C225&lt;$C$2:$C$248))+1</f>
        <v>22</v>
      </c>
      <c r="F225">
        <v>225</v>
      </c>
      <c r="G225" s="27"/>
    </row>
    <row r="226" spans="1:7" hidden="1" x14ac:dyDescent="0.2">
      <c r="A226" t="s">
        <v>229</v>
      </c>
      <c r="C226" s="10">
        <v>945</v>
      </c>
      <c r="D226">
        <v>2019</v>
      </c>
      <c r="E226" cm="1">
        <f t="array" aca="1" ref="E226" ca="1">SUMPRODUCT(SUBTOTAL(3,OFFSET($C$2:$C$288,ROW($C$2:$C$248)-MIN(ROW($C$2:$C$248)),0,1)),--(C226&lt;$C$2:$C$248))+1</f>
        <v>22</v>
      </c>
      <c r="F226">
        <v>226</v>
      </c>
      <c r="G226" s="27"/>
    </row>
    <row r="227" spans="1:7" hidden="1" x14ac:dyDescent="0.2">
      <c r="A227" t="s">
        <v>230</v>
      </c>
      <c r="C227">
        <v>875.2</v>
      </c>
      <c r="D227">
        <v>2020</v>
      </c>
      <c r="E227" cm="1">
        <f t="array" aca="1" ref="E227" ca="1">SUMPRODUCT(SUBTOTAL(3,OFFSET($C$2:$C$288,ROW($C$2:$C$248)-MIN(ROW($C$2:$C$248)),0,1)),--(C227&lt;$C$2:$C$248))+1</f>
        <v>22</v>
      </c>
      <c r="F227">
        <v>227</v>
      </c>
      <c r="G227" s="27"/>
    </row>
    <row r="228" spans="1:7" hidden="1" x14ac:dyDescent="0.2">
      <c r="A228" t="s">
        <v>231</v>
      </c>
      <c r="C228" s="10">
        <v>752</v>
      </c>
      <c r="D228">
        <v>2019</v>
      </c>
      <c r="E228" cm="1">
        <f t="array" aca="1" ref="E228" ca="1">SUMPRODUCT(SUBTOTAL(3,OFFSET($C$2:$C$288,ROW($C$2:$C$248)-MIN(ROW($C$2:$C$248)),0,1)),--(C228&lt;$C$2:$C$248))+1</f>
        <v>22</v>
      </c>
      <c r="F228">
        <v>228</v>
      </c>
      <c r="G228" s="27"/>
    </row>
    <row r="229" spans="1:7" hidden="1" x14ac:dyDescent="0.2">
      <c r="C229"/>
      <c r="E229" cm="1">
        <f t="array" aca="1" ref="E229" ca="1">SUMPRODUCT(SUBTOTAL(3,OFFSET($C$2:$C$288,ROW($C$2:$C$248)-MIN(ROW($C$2:$C$248)),0,1)),--(C229&lt;$C$2:$C$248))+1</f>
        <v>22</v>
      </c>
      <c r="G229" s="27"/>
    </row>
    <row r="230" spans="1:7" hidden="1" x14ac:dyDescent="0.2">
      <c r="C230"/>
      <c r="E230" cm="1">
        <f t="array" aca="1" ref="E230" ca="1">SUMPRODUCT(SUBTOTAL(3,OFFSET($C$2:$C$288,ROW($C$2:$C$248)-MIN(ROW($C$2:$C$248)),0,1)),--(C230&lt;$C$2:$C$248))+1</f>
        <v>22</v>
      </c>
      <c r="G230" s="27"/>
    </row>
    <row r="231" spans="1:7" hidden="1" x14ac:dyDescent="0.2">
      <c r="C231"/>
      <c r="E231" cm="1">
        <f t="array" aca="1" ref="E231" ca="1">SUMPRODUCT(SUBTOTAL(3,OFFSET($C$2:$C$288,ROW($C$2:$C$248)-MIN(ROW($C$2:$C$248)),0,1)),--(C231&lt;$C$2:$C$248))+1</f>
        <v>22</v>
      </c>
      <c r="G231" s="27"/>
    </row>
    <row r="232" spans="1:7" hidden="1" x14ac:dyDescent="0.2">
      <c r="C232"/>
      <c r="E232" cm="1">
        <f t="array" aca="1" ref="E232" ca="1">SUMPRODUCT(SUBTOTAL(3,OFFSET($C$2:$C$288,ROW($C$2:$C$248)-MIN(ROW($C$2:$C$248)),0,1)),--(C232&lt;$C$2:$C$248))+1</f>
        <v>22</v>
      </c>
      <c r="G232" s="27"/>
    </row>
    <row r="233" spans="1:7" hidden="1" x14ac:dyDescent="0.2">
      <c r="C233"/>
      <c r="E233" cm="1">
        <f t="array" aca="1" ref="E233" ca="1">SUMPRODUCT(SUBTOTAL(3,OFFSET($C$2:$C$288,ROW($C$2:$C$248)-MIN(ROW($C$2:$C$248)),0,1)),--(C233&lt;$C$2:$C$248))+1</f>
        <v>22</v>
      </c>
      <c r="G233" s="27"/>
    </row>
    <row r="234" spans="1:7" hidden="1" x14ac:dyDescent="0.2">
      <c r="C234"/>
      <c r="E234" cm="1">
        <f t="array" aca="1" ref="E234" ca="1">SUMPRODUCT(SUBTOTAL(3,OFFSET($C$2:$C$288,ROW($C$2:$C$248)-MIN(ROW($C$2:$C$248)),0,1)),--(C234&lt;$C$2:$C$248))+1</f>
        <v>22</v>
      </c>
      <c r="G234" s="27"/>
    </row>
    <row r="235" spans="1:7" hidden="1" x14ac:dyDescent="0.2">
      <c r="C235"/>
      <c r="E235" cm="1">
        <f t="array" aca="1" ref="E235" ca="1">SUMPRODUCT(SUBTOTAL(3,OFFSET($C$2:$C$288,ROW($C$2:$C$248)-MIN(ROW($C$2:$C$248)),0,1)),--(C235&lt;$C$2:$C$248))+1</f>
        <v>22</v>
      </c>
      <c r="G235" s="27"/>
    </row>
    <row r="236" spans="1:7" hidden="1" x14ac:dyDescent="0.2">
      <c r="C236"/>
      <c r="E236" cm="1">
        <f t="array" aca="1" ref="E236" ca="1">SUMPRODUCT(SUBTOTAL(3,OFFSET($C$2:$C$288,ROW($C$2:$C$248)-MIN(ROW($C$2:$C$248)),0,1)),--(C236&lt;$C$2:$C$248))+1</f>
        <v>22</v>
      </c>
      <c r="G236" s="27"/>
    </row>
    <row r="237" spans="1:7" hidden="1" x14ac:dyDescent="0.2">
      <c r="C237"/>
      <c r="E237" cm="1">
        <f t="array" aca="1" ref="E237" ca="1">SUMPRODUCT(SUBTOTAL(3,OFFSET($C$2:$C$288,ROW($C$2:$C$248)-MIN(ROW($C$2:$C$248)),0,1)),--(C237&lt;$C$2:$C$248))+1</f>
        <v>22</v>
      </c>
      <c r="G237" s="27"/>
    </row>
    <row r="238" spans="1:7" hidden="1" x14ac:dyDescent="0.2">
      <c r="C238"/>
      <c r="E238" cm="1">
        <f t="array" aca="1" ref="E238" ca="1">SUMPRODUCT(SUBTOTAL(3,OFFSET($C$2:$C$288,ROW($C$2:$C$248)-MIN(ROW($C$2:$C$248)),0,1)),--(C238&lt;$C$2:$C$248))+1</f>
        <v>22</v>
      </c>
      <c r="G238" s="27"/>
    </row>
    <row r="239" spans="1:7" hidden="1" x14ac:dyDescent="0.2">
      <c r="C239"/>
      <c r="E239" cm="1">
        <f t="array" aca="1" ref="E239" ca="1">SUMPRODUCT(SUBTOTAL(3,OFFSET($C$2:$C$288,ROW($C$2:$C$248)-MIN(ROW($C$2:$C$248)),0,1)),--(C239&lt;$C$2:$C$248))+1</f>
        <v>22</v>
      </c>
      <c r="G239" s="27"/>
    </row>
    <row r="240" spans="1:7" hidden="1" x14ac:dyDescent="0.2">
      <c r="C240"/>
      <c r="E240" cm="1">
        <f t="array" aca="1" ref="E240" ca="1">SUMPRODUCT(SUBTOTAL(3,OFFSET($C$2:$C$288,ROW($C$2:$C$248)-MIN(ROW($C$2:$C$248)),0,1)),--(C240&lt;$C$2:$C$248))+1</f>
        <v>22</v>
      </c>
      <c r="G240" s="27"/>
    </row>
    <row r="241" spans="1:7" hidden="1" x14ac:dyDescent="0.2">
      <c r="C241"/>
      <c r="E241" cm="1">
        <f t="array" aca="1" ref="E241" ca="1">SUMPRODUCT(SUBTOTAL(3,OFFSET($C$2:$C$288,ROW($C$2:$C$248)-MIN(ROW($C$2:$C$248)),0,1)),--(C241&lt;$C$2:$C$248))+1</f>
        <v>22</v>
      </c>
      <c r="G241" s="27"/>
    </row>
    <row r="242" spans="1:7" hidden="1" x14ac:dyDescent="0.2">
      <c r="C242"/>
      <c r="E242" cm="1">
        <f t="array" aca="1" ref="E242" ca="1">SUMPRODUCT(SUBTOTAL(3,OFFSET($C$2:$C$288,ROW($C$2:$C$248)-MIN(ROW($C$2:$C$248)),0,1)),--(C242&lt;$C$2:$C$248))+1</f>
        <v>22</v>
      </c>
      <c r="G242" s="27"/>
    </row>
    <row r="243" spans="1:7" hidden="1" x14ac:dyDescent="0.2">
      <c r="C243"/>
      <c r="E243" cm="1">
        <f t="array" aca="1" ref="E243" ca="1">SUMPRODUCT(SUBTOTAL(3,OFFSET($C$2:$C$288,ROW($C$2:$C$248)-MIN(ROW($C$2:$C$248)),0,1)),--(C243&lt;$C$2:$C$248))+1</f>
        <v>22</v>
      </c>
      <c r="G243" s="27"/>
    </row>
    <row r="244" spans="1:7" hidden="1" x14ac:dyDescent="0.2">
      <c r="C244"/>
      <c r="E244" cm="1">
        <f t="array" aca="1" ref="E244" ca="1">SUMPRODUCT(SUBTOTAL(3,OFFSET($C$2:$C$288,ROW($C$2:$C$248)-MIN(ROW($C$2:$C$248)),0,1)),--(C244&lt;$C$2:$C$248))+1</f>
        <v>22</v>
      </c>
      <c r="G244" s="27"/>
    </row>
    <row r="245" spans="1:7" hidden="1" x14ac:dyDescent="0.2">
      <c r="C245"/>
      <c r="E245" cm="1">
        <f t="array" aca="1" ref="E245" ca="1">SUMPRODUCT(SUBTOTAL(3,OFFSET($C$2:$C$288,ROW($C$2:$C$248)-MIN(ROW($C$2:$C$248)),0,1)),--(C245&lt;$C$2:$C$248))+1</f>
        <v>22</v>
      </c>
      <c r="G245" s="27"/>
    </row>
    <row r="246" spans="1:7" hidden="1" x14ac:dyDescent="0.2">
      <c r="C246"/>
      <c r="E246" cm="1">
        <f t="array" aca="1" ref="E246" ca="1">SUMPRODUCT(SUBTOTAL(3,OFFSET($C$2:$C$288,ROW($C$2:$C$248)-MIN(ROW($C$2:$C$248)),0,1)),--(C246&lt;$C$2:$C$248))+1</f>
        <v>22</v>
      </c>
      <c r="G246" s="27"/>
    </row>
    <row r="247" spans="1:7" hidden="1" x14ac:dyDescent="0.2">
      <c r="C247"/>
      <c r="E247" cm="1">
        <f t="array" aca="1" ref="E247" ca="1">SUMPRODUCT(SUBTOTAL(3,OFFSET($C$2:$C$288,ROW($C$2:$C$248)-MIN(ROW($C$2:$C$248)),0,1)),--(C247&lt;$C$2:$C$248))+1</f>
        <v>22</v>
      </c>
      <c r="G247" s="27"/>
    </row>
    <row r="248" spans="1:7" hidden="1" x14ac:dyDescent="0.2">
      <c r="C248"/>
      <c r="E248" cm="1">
        <f t="array" aca="1" ref="E248" ca="1">SUMPRODUCT(SUBTOTAL(3,OFFSET($C$2:$C$288,ROW($C$2:$C$248)-MIN(ROW($C$2:$C$248)),0,1)),--(C248&lt;$C$2:$C$248))+1</f>
        <v>22</v>
      </c>
      <c r="G248" s="27"/>
    </row>
    <row r="249" spans="1:7" x14ac:dyDescent="0.2">
      <c r="A249" s="27"/>
      <c r="C249" s="27"/>
      <c r="D249" s="27"/>
      <c r="E249" s="27"/>
      <c r="G249" s="27"/>
    </row>
    <row r="250" spans="1:7" x14ac:dyDescent="0.2">
      <c r="A250" s="27"/>
      <c r="B250" s="27"/>
      <c r="C250" s="27"/>
      <c r="D250" s="27"/>
      <c r="E250" s="27"/>
      <c r="F250" s="27"/>
      <c r="G250" s="27"/>
    </row>
    <row r="251" spans="1:7" x14ac:dyDescent="0.2">
      <c r="A251" s="27"/>
      <c r="B251" s="27"/>
      <c r="C251" s="27"/>
      <c r="D251" s="27"/>
      <c r="E251" s="27"/>
      <c r="F251" s="27"/>
      <c r="G251" s="27"/>
    </row>
    <row r="252" spans="1:7" x14ac:dyDescent="0.2">
      <c r="A252" s="27"/>
      <c r="B252" s="27"/>
      <c r="C252" s="27"/>
      <c r="D252" s="27"/>
      <c r="E252" s="27"/>
      <c r="F252" s="27"/>
      <c r="G252" s="27"/>
    </row>
    <row r="253" spans="1:7" x14ac:dyDescent="0.2">
      <c r="A253" s="27"/>
      <c r="B253" s="27"/>
      <c r="C253" s="27"/>
      <c r="D253" s="27"/>
      <c r="E253" s="27"/>
      <c r="F253" s="27"/>
      <c r="G253" s="27"/>
    </row>
    <row r="254" spans="1:7" x14ac:dyDescent="0.2">
      <c r="A254" s="27"/>
      <c r="B254" s="27"/>
      <c r="C254" s="27"/>
      <c r="D254" s="27"/>
      <c r="E254" s="27"/>
      <c r="F254" s="27"/>
      <c r="G254" s="27"/>
    </row>
    <row r="255" spans="1:7" x14ac:dyDescent="0.2">
      <c r="A255" s="27"/>
      <c r="B255" s="27"/>
      <c r="C255" s="27"/>
      <c r="D255" s="27"/>
      <c r="E255" s="27"/>
      <c r="F255" s="27"/>
      <c r="G255" s="27"/>
    </row>
    <row r="256" spans="1:7" x14ac:dyDescent="0.2">
      <c r="A256" s="27"/>
      <c r="B256" s="27"/>
      <c r="C256" s="27"/>
      <c r="D256" s="27"/>
      <c r="E256" s="27"/>
      <c r="F256" s="27"/>
      <c r="G256" s="27"/>
    </row>
    <row r="257" spans="1:7" x14ac:dyDescent="0.2">
      <c r="A257" s="27"/>
      <c r="B257" s="27"/>
      <c r="C257" s="27"/>
      <c r="D257" s="27"/>
      <c r="E257" s="27"/>
      <c r="F257" s="27"/>
      <c r="G257" s="27"/>
    </row>
    <row r="258" spans="1:7" x14ac:dyDescent="0.2">
      <c r="A258" s="27"/>
      <c r="B258" s="27"/>
      <c r="C258" s="27"/>
      <c r="D258" s="27"/>
      <c r="E258" s="27"/>
      <c r="F258" s="27"/>
      <c r="G258" s="27"/>
    </row>
    <row r="259" spans="1:7" x14ac:dyDescent="0.2">
      <c r="A259" s="27"/>
      <c r="B259" s="27"/>
      <c r="C259" s="27"/>
      <c r="D259" s="27"/>
      <c r="E259" s="27"/>
      <c r="F259" s="27"/>
      <c r="G259" s="27"/>
    </row>
    <row r="260" spans="1:7" x14ac:dyDescent="0.2">
      <c r="A260" s="27"/>
      <c r="B260" s="27"/>
      <c r="C260" s="27"/>
      <c r="D260" s="27"/>
      <c r="E260" s="27"/>
      <c r="F260" s="27"/>
      <c r="G260" s="27"/>
    </row>
    <row r="261" spans="1:7" x14ac:dyDescent="0.2">
      <c r="A261" s="27"/>
      <c r="B261" s="27"/>
      <c r="C261" s="27"/>
      <c r="D261" s="27"/>
      <c r="E261" s="27"/>
      <c r="F261" s="27"/>
      <c r="G261" s="27"/>
    </row>
    <row r="262" spans="1:7" x14ac:dyDescent="0.2">
      <c r="A262" s="27"/>
      <c r="B262" s="27"/>
      <c r="C262" s="27"/>
      <c r="D262" s="27"/>
      <c r="E262" s="27"/>
      <c r="F262" s="27"/>
      <c r="G262" s="27"/>
    </row>
    <row r="263" spans="1:7" x14ac:dyDescent="0.2">
      <c r="A263" s="27"/>
      <c r="B263" s="27"/>
      <c r="C263" s="27"/>
      <c r="D263" s="27"/>
      <c r="E263" s="27"/>
      <c r="F263" s="27"/>
      <c r="G263" s="27"/>
    </row>
    <row r="264" spans="1:7" x14ac:dyDescent="0.2">
      <c r="A264" s="27"/>
      <c r="B264" s="27"/>
      <c r="C264" s="27"/>
      <c r="D264" s="27"/>
      <c r="E264" s="27"/>
      <c r="F264" s="27"/>
      <c r="G264" s="27"/>
    </row>
    <row r="265" spans="1:7" x14ac:dyDescent="0.2">
      <c r="A265" s="27"/>
      <c r="B265" s="27"/>
      <c r="C265" s="27"/>
      <c r="D265" s="27"/>
      <c r="E265" s="27"/>
      <c r="F265" s="27"/>
      <c r="G265" s="27"/>
    </row>
    <row r="266" spans="1:7" x14ac:dyDescent="0.2">
      <c r="A266" s="27"/>
      <c r="B266" s="27"/>
      <c r="C266" s="27"/>
      <c r="D266" s="27"/>
      <c r="E266" s="27"/>
      <c r="F266" s="27"/>
      <c r="G266" s="27"/>
    </row>
    <row r="267" spans="1:7" x14ac:dyDescent="0.2">
      <c r="A267" s="27"/>
      <c r="B267" s="27"/>
      <c r="C267" s="27"/>
      <c r="D267" s="27"/>
      <c r="E267" s="27"/>
      <c r="F267" s="27"/>
      <c r="G267" s="27"/>
    </row>
    <row r="268" spans="1:7" x14ac:dyDescent="0.2">
      <c r="A268" s="27"/>
      <c r="B268" s="27"/>
      <c r="C268" s="27"/>
      <c r="D268" s="27"/>
      <c r="E268" s="27"/>
      <c r="F268" s="27"/>
      <c r="G268" s="27"/>
    </row>
    <row r="269" spans="1:7" x14ac:dyDescent="0.2">
      <c r="A269" s="27"/>
      <c r="B269" s="27"/>
      <c r="C269" s="27"/>
      <c r="D269" s="27"/>
      <c r="E269" s="27"/>
      <c r="F269" s="27"/>
      <c r="G269" s="27"/>
    </row>
    <row r="270" spans="1:7" x14ac:dyDescent="0.2">
      <c r="A270" s="27"/>
      <c r="B270" s="27"/>
      <c r="C270" s="27"/>
      <c r="D270" s="27"/>
      <c r="E270" s="27"/>
      <c r="F270" s="27"/>
      <c r="G270" s="27"/>
    </row>
    <row r="271" spans="1:7" x14ac:dyDescent="0.2">
      <c r="A271" s="27"/>
      <c r="B271" s="27"/>
      <c r="C271" s="27"/>
      <c r="D271" s="27"/>
      <c r="E271" s="27"/>
      <c r="F271" s="27"/>
      <c r="G271" s="27"/>
    </row>
    <row r="272" spans="1:7" x14ac:dyDescent="0.2">
      <c r="A272" s="27"/>
      <c r="B272" s="27"/>
      <c r="C272" s="27"/>
      <c r="D272" s="27"/>
      <c r="E272" s="27"/>
      <c r="F272" s="27"/>
      <c r="G272" s="27"/>
    </row>
    <row r="273" spans="1:7" x14ac:dyDescent="0.2">
      <c r="A273" s="27"/>
      <c r="B273" s="27"/>
      <c r="C273" s="27"/>
      <c r="D273" s="27"/>
      <c r="E273" s="27"/>
      <c r="F273" s="27"/>
      <c r="G273" s="27"/>
    </row>
    <row r="274" spans="1:7" x14ac:dyDescent="0.2">
      <c r="A274" s="27"/>
      <c r="B274" s="27"/>
      <c r="C274" s="27"/>
      <c r="D274" s="27"/>
      <c r="E274" s="27"/>
      <c r="F274" s="27"/>
      <c r="G274" s="27"/>
    </row>
    <row r="275" spans="1:7" x14ac:dyDescent="0.2">
      <c r="A275" s="27"/>
      <c r="B275" s="27"/>
      <c r="C275" s="27"/>
      <c r="D275" s="27"/>
      <c r="E275" s="27"/>
      <c r="F275" s="27"/>
      <c r="G275" s="27"/>
    </row>
    <row r="276" spans="1:7" x14ac:dyDescent="0.2">
      <c r="A276" s="27"/>
      <c r="B276" s="27"/>
      <c r="C276" s="27"/>
      <c r="D276" s="27"/>
      <c r="E276" s="27"/>
      <c r="F276" s="27"/>
      <c r="G276" s="27"/>
    </row>
    <row r="277" spans="1:7" x14ac:dyDescent="0.2">
      <c r="A277" s="27"/>
      <c r="B277" s="27"/>
      <c r="C277" s="27"/>
      <c r="D277" s="27"/>
      <c r="E277" s="27"/>
      <c r="F277" s="27"/>
      <c r="G277" s="27"/>
    </row>
    <row r="278" spans="1:7" x14ac:dyDescent="0.2">
      <c r="A278" s="27"/>
      <c r="B278" s="27"/>
      <c r="C278" s="27"/>
      <c r="D278" s="27"/>
      <c r="E278" s="27"/>
      <c r="F278" s="27"/>
      <c r="G278" s="27"/>
    </row>
    <row r="279" spans="1:7" x14ac:dyDescent="0.2">
      <c r="A279" s="27"/>
      <c r="B279" s="27"/>
      <c r="C279" s="27"/>
      <c r="D279" s="27"/>
      <c r="E279" s="27"/>
      <c r="F279" s="27"/>
      <c r="G279" s="27"/>
    </row>
    <row r="280" spans="1:7" x14ac:dyDescent="0.2">
      <c r="A280" s="27"/>
      <c r="B280" s="27"/>
      <c r="C280" s="27"/>
      <c r="D280" s="27"/>
      <c r="E280" s="27"/>
      <c r="F280" s="27"/>
      <c r="G280" s="27"/>
    </row>
    <row r="281" spans="1:7" x14ac:dyDescent="0.2">
      <c r="A281" s="27"/>
      <c r="B281" s="27"/>
      <c r="C281" s="27"/>
      <c r="D281" s="27"/>
      <c r="E281" s="27"/>
      <c r="F281" s="27"/>
      <c r="G281" s="27"/>
    </row>
    <row r="282" spans="1:7" x14ac:dyDescent="0.2">
      <c r="A282" s="27"/>
      <c r="B282" s="27"/>
      <c r="C282" s="27"/>
      <c r="D282" s="27"/>
      <c r="E282" s="27"/>
      <c r="F282" s="27"/>
      <c r="G282" s="27"/>
    </row>
    <row r="283" spans="1:7" x14ac:dyDescent="0.2">
      <c r="A283" s="27"/>
      <c r="B283" s="27"/>
      <c r="C283" s="27"/>
      <c r="D283" s="27"/>
      <c r="E283" s="27"/>
      <c r="F283" s="27"/>
      <c r="G283" s="27"/>
    </row>
    <row r="284" spans="1:7" x14ac:dyDescent="0.2">
      <c r="A284" s="27"/>
      <c r="B284" s="27"/>
      <c r="C284" s="27"/>
      <c r="D284" s="27"/>
      <c r="E284" s="27"/>
      <c r="F284" s="27"/>
      <c r="G284" s="27"/>
    </row>
    <row r="285" spans="1:7" x14ac:dyDescent="0.2">
      <c r="A285" s="27"/>
      <c r="B285" s="27"/>
      <c r="C285" s="27"/>
      <c r="D285" s="27"/>
      <c r="E285" s="27"/>
      <c r="F285" s="27"/>
      <c r="G285" s="27"/>
    </row>
  </sheetData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6"/>
  <dimension ref="A1:G197"/>
  <sheetViews>
    <sheetView workbookViewId="0">
      <selection activeCell="C2" sqref="C2"/>
    </sheetView>
  </sheetViews>
  <sheetFormatPr defaultRowHeight="14.25" x14ac:dyDescent="0.2"/>
  <cols>
    <col min="1" max="1" width="6.77734375" customWidth="1"/>
    <col min="2" max="2" width="31.109375" customWidth="1"/>
    <col min="3" max="3" width="22.21875" customWidth="1"/>
    <col min="4" max="4" width="19.21875" customWidth="1"/>
  </cols>
  <sheetData>
    <row r="1" spans="1:7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7" x14ac:dyDescent="0.2">
      <c r="A2">
        <v>161</v>
      </c>
      <c r="B2" t="s">
        <v>393</v>
      </c>
      <c r="C2" s="2">
        <v>64.8</v>
      </c>
      <c r="D2">
        <v>2020</v>
      </c>
    </row>
    <row r="3" spans="1:7" x14ac:dyDescent="0.2">
      <c r="A3">
        <v>43</v>
      </c>
      <c r="B3" t="s">
        <v>276</v>
      </c>
      <c r="C3" s="2">
        <v>78.599999999999994</v>
      </c>
      <c r="D3">
        <v>2020</v>
      </c>
    </row>
    <row r="4" spans="1:7" x14ac:dyDescent="0.2">
      <c r="A4">
        <v>62</v>
      </c>
      <c r="B4" t="s">
        <v>295</v>
      </c>
      <c r="C4" s="2">
        <v>76.900000000000006</v>
      </c>
      <c r="D4">
        <v>2020</v>
      </c>
    </row>
    <row r="5" spans="1:7" x14ac:dyDescent="0.2">
      <c r="A5">
        <v>23</v>
      </c>
      <c r="B5" t="s">
        <v>256</v>
      </c>
      <c r="C5" s="2">
        <v>81.900000000000006</v>
      </c>
      <c r="D5">
        <v>2020</v>
      </c>
    </row>
    <row r="6" spans="1:7" x14ac:dyDescent="0.2">
      <c r="A6">
        <v>181</v>
      </c>
      <c r="B6" t="s">
        <v>413</v>
      </c>
      <c r="C6" s="2">
        <v>61.2</v>
      </c>
      <c r="D6">
        <v>2020</v>
      </c>
    </row>
    <row r="7" spans="1:7" x14ac:dyDescent="0.2">
      <c r="A7">
        <v>57</v>
      </c>
      <c r="B7" t="s">
        <v>290</v>
      </c>
      <c r="C7" s="2">
        <v>77</v>
      </c>
      <c r="D7">
        <v>2020</v>
      </c>
    </row>
    <row r="8" spans="1:7" x14ac:dyDescent="0.2">
      <c r="A8">
        <v>118</v>
      </c>
      <c r="B8" t="s">
        <v>350</v>
      </c>
      <c r="C8" s="2">
        <v>72.099999999999994</v>
      </c>
      <c r="D8">
        <v>2020</v>
      </c>
    </row>
    <row r="9" spans="1:7" x14ac:dyDescent="0.2">
      <c r="A9">
        <v>63</v>
      </c>
      <c r="B9" t="s">
        <v>296</v>
      </c>
      <c r="C9" s="2">
        <v>76.7</v>
      </c>
      <c r="D9">
        <v>2020</v>
      </c>
    </row>
    <row r="10" spans="1:7" x14ac:dyDescent="0.2">
      <c r="A10">
        <v>85</v>
      </c>
      <c r="B10" t="s">
        <v>318</v>
      </c>
      <c r="C10" s="2">
        <v>75.099999999999994</v>
      </c>
      <c r="D10">
        <v>2020</v>
      </c>
      <c r="G10" s="2"/>
    </row>
    <row r="11" spans="1:7" x14ac:dyDescent="0.2">
      <c r="A11">
        <v>7</v>
      </c>
      <c r="B11" t="s">
        <v>240</v>
      </c>
      <c r="C11" s="2">
        <v>83.4</v>
      </c>
      <c r="D11">
        <v>2020</v>
      </c>
    </row>
    <row r="12" spans="1:7" x14ac:dyDescent="0.2">
      <c r="A12">
        <v>25</v>
      </c>
      <c r="B12" t="s">
        <v>258</v>
      </c>
      <c r="C12" s="2">
        <v>81.5</v>
      </c>
      <c r="D12">
        <v>2020</v>
      </c>
    </row>
    <row r="13" spans="1:7" x14ac:dyDescent="0.2">
      <c r="A13">
        <v>107</v>
      </c>
      <c r="B13" t="s">
        <v>340</v>
      </c>
      <c r="C13" s="2">
        <v>73</v>
      </c>
      <c r="D13">
        <v>2020</v>
      </c>
    </row>
    <row r="14" spans="1:7" x14ac:dyDescent="0.2">
      <c r="A14">
        <v>100</v>
      </c>
      <c r="B14" t="s">
        <v>333</v>
      </c>
      <c r="C14" s="2">
        <v>73.900000000000006</v>
      </c>
      <c r="D14">
        <v>2020</v>
      </c>
    </row>
    <row r="15" spans="1:7" x14ac:dyDescent="0.2">
      <c r="A15">
        <v>53</v>
      </c>
      <c r="B15" t="s">
        <v>286</v>
      </c>
      <c r="C15" s="2">
        <v>77.3</v>
      </c>
      <c r="D15">
        <v>2020</v>
      </c>
    </row>
    <row r="16" spans="1:7" x14ac:dyDescent="0.2">
      <c r="A16">
        <v>114</v>
      </c>
      <c r="B16" t="s">
        <v>346</v>
      </c>
      <c r="C16" s="2">
        <v>72.599999999999994</v>
      </c>
      <c r="D16">
        <v>2020</v>
      </c>
    </row>
    <row r="17" spans="1:4" x14ac:dyDescent="0.2">
      <c r="A17">
        <v>36</v>
      </c>
      <c r="B17" t="s">
        <v>269</v>
      </c>
      <c r="C17" s="2">
        <v>79.2</v>
      </c>
      <c r="D17">
        <v>2020</v>
      </c>
    </row>
    <row r="18" spans="1:4" x14ac:dyDescent="0.2">
      <c r="A18">
        <v>87</v>
      </c>
      <c r="B18" t="s">
        <v>320</v>
      </c>
      <c r="C18" s="2">
        <v>74.8</v>
      </c>
      <c r="D18">
        <v>2020</v>
      </c>
    </row>
    <row r="19" spans="1:4" x14ac:dyDescent="0.2">
      <c r="A19">
        <v>24</v>
      </c>
      <c r="B19" t="s">
        <v>257</v>
      </c>
      <c r="C19" s="2">
        <v>81.599999999999994</v>
      </c>
      <c r="D19">
        <v>2020</v>
      </c>
    </row>
    <row r="20" spans="1:4" x14ac:dyDescent="0.2">
      <c r="A20">
        <v>89</v>
      </c>
      <c r="B20" t="s">
        <v>322</v>
      </c>
      <c r="C20" s="2">
        <v>74.599999999999994</v>
      </c>
      <c r="D20">
        <v>2020</v>
      </c>
    </row>
    <row r="21" spans="1:4" x14ac:dyDescent="0.2">
      <c r="A21">
        <v>175</v>
      </c>
      <c r="B21" t="s">
        <v>407</v>
      </c>
      <c r="C21" s="2">
        <v>61.8</v>
      </c>
      <c r="D21">
        <v>2020</v>
      </c>
    </row>
    <row r="22" spans="1:4" x14ac:dyDescent="0.2">
      <c r="A22">
        <v>122</v>
      </c>
      <c r="B22" t="s">
        <v>354</v>
      </c>
      <c r="C22" s="2">
        <v>71.8</v>
      </c>
      <c r="D22">
        <v>2020</v>
      </c>
    </row>
    <row r="23" spans="1:4" x14ac:dyDescent="0.2">
      <c r="A23">
        <v>126</v>
      </c>
      <c r="B23" t="s">
        <v>358</v>
      </c>
      <c r="C23" s="2">
        <v>71.5</v>
      </c>
      <c r="D23">
        <v>2020</v>
      </c>
    </row>
    <row r="24" spans="1:4" x14ac:dyDescent="0.2">
      <c r="A24">
        <v>52</v>
      </c>
      <c r="B24" t="s">
        <v>285</v>
      </c>
      <c r="C24" s="2">
        <v>77.400000000000006</v>
      </c>
      <c r="D24">
        <v>2020</v>
      </c>
    </row>
    <row r="25" spans="1:4" x14ac:dyDescent="0.2">
      <c r="A25">
        <v>140</v>
      </c>
      <c r="B25" t="s">
        <v>372</v>
      </c>
      <c r="C25" s="2">
        <v>69.599999999999994</v>
      </c>
      <c r="D25">
        <v>2020</v>
      </c>
    </row>
    <row r="26" spans="1:4" x14ac:dyDescent="0.2">
      <c r="A26">
        <v>74</v>
      </c>
      <c r="B26" t="s">
        <v>307</v>
      </c>
      <c r="C26" s="2">
        <v>75.900000000000006</v>
      </c>
      <c r="D26">
        <v>2020</v>
      </c>
    </row>
    <row r="27" spans="1:4" x14ac:dyDescent="0.2">
      <c r="A27">
        <v>73</v>
      </c>
      <c r="B27" t="s">
        <v>306</v>
      </c>
      <c r="C27" s="2">
        <v>75.900000000000006</v>
      </c>
      <c r="D27">
        <v>2020</v>
      </c>
    </row>
    <row r="28" spans="1:4" x14ac:dyDescent="0.2">
      <c r="A28">
        <v>83</v>
      </c>
      <c r="B28" t="s">
        <v>316</v>
      </c>
      <c r="C28" s="2">
        <v>75.099999999999994</v>
      </c>
      <c r="D28">
        <v>2020</v>
      </c>
    </row>
    <row r="29" spans="1:4" x14ac:dyDescent="0.2">
      <c r="A29">
        <v>177</v>
      </c>
      <c r="B29" t="s">
        <v>409</v>
      </c>
      <c r="C29" s="2">
        <v>61.6</v>
      </c>
      <c r="D29">
        <v>2020</v>
      </c>
    </row>
    <row r="30" spans="1:4" x14ac:dyDescent="0.2">
      <c r="A30">
        <v>178</v>
      </c>
      <c r="B30" t="s">
        <v>410</v>
      </c>
      <c r="C30" s="2">
        <v>61.6</v>
      </c>
      <c r="D30">
        <v>2020</v>
      </c>
    </row>
    <row r="31" spans="1:4" x14ac:dyDescent="0.2">
      <c r="A31">
        <v>138</v>
      </c>
      <c r="B31" t="s">
        <v>370</v>
      </c>
      <c r="C31" s="2">
        <v>69.8</v>
      </c>
      <c r="D31">
        <v>2020</v>
      </c>
    </row>
    <row r="32" spans="1:4" x14ac:dyDescent="0.2">
      <c r="A32">
        <v>186</v>
      </c>
      <c r="B32" t="s">
        <v>418</v>
      </c>
      <c r="C32" s="2">
        <v>59.3</v>
      </c>
      <c r="D32">
        <v>2020</v>
      </c>
    </row>
    <row r="33" spans="1:4" x14ac:dyDescent="0.2">
      <c r="A33">
        <v>15</v>
      </c>
      <c r="B33" t="s">
        <v>248</v>
      </c>
      <c r="C33" s="2">
        <v>82.4</v>
      </c>
      <c r="D33">
        <v>2020</v>
      </c>
    </row>
    <row r="34" spans="1:4" x14ac:dyDescent="0.2">
      <c r="A34">
        <v>108</v>
      </c>
      <c r="B34" t="s">
        <v>341</v>
      </c>
      <c r="C34" s="2">
        <v>73</v>
      </c>
      <c r="D34">
        <v>2020</v>
      </c>
    </row>
    <row r="35" spans="1:4" x14ac:dyDescent="0.2">
      <c r="A35">
        <v>196</v>
      </c>
      <c r="B35" t="s">
        <v>428</v>
      </c>
      <c r="C35" s="2">
        <v>53.3</v>
      </c>
      <c r="D35">
        <v>2020</v>
      </c>
    </row>
    <row r="36" spans="1:4" x14ac:dyDescent="0.2">
      <c r="A36">
        <v>195</v>
      </c>
      <c r="B36" t="s">
        <v>427</v>
      </c>
      <c r="C36" s="2">
        <v>54.2</v>
      </c>
      <c r="D36">
        <v>2020</v>
      </c>
    </row>
    <row r="37" spans="1:4" x14ac:dyDescent="0.2">
      <c r="A37">
        <v>33</v>
      </c>
      <c r="B37" t="s">
        <v>266</v>
      </c>
      <c r="C37" s="2">
        <v>80.2</v>
      </c>
      <c r="D37">
        <v>2020</v>
      </c>
    </row>
    <row r="38" spans="1:4" x14ac:dyDescent="0.2">
      <c r="A38">
        <v>61</v>
      </c>
      <c r="B38" t="s">
        <v>294</v>
      </c>
      <c r="C38" s="2">
        <v>76.900000000000006</v>
      </c>
      <c r="D38">
        <v>2020</v>
      </c>
    </row>
    <row r="39" spans="1:4" x14ac:dyDescent="0.2">
      <c r="A39">
        <v>54</v>
      </c>
      <c r="B39" t="s">
        <v>287</v>
      </c>
      <c r="C39" s="2">
        <v>77.3</v>
      </c>
      <c r="D39">
        <v>2020</v>
      </c>
    </row>
    <row r="40" spans="1:4" x14ac:dyDescent="0.2">
      <c r="A40">
        <v>164</v>
      </c>
      <c r="B40" t="s">
        <v>396</v>
      </c>
      <c r="C40" s="2">
        <v>64.3</v>
      </c>
      <c r="D40">
        <v>2020</v>
      </c>
    </row>
    <row r="41" spans="1:4" x14ac:dyDescent="0.2">
      <c r="A41">
        <v>162</v>
      </c>
      <c r="B41" t="s">
        <v>394</v>
      </c>
      <c r="C41" s="2">
        <v>64.599999999999994</v>
      </c>
      <c r="D41">
        <v>2020</v>
      </c>
    </row>
    <row r="42" spans="1:4" x14ac:dyDescent="0.2">
      <c r="A42">
        <v>32</v>
      </c>
      <c r="B42" t="s">
        <v>265</v>
      </c>
      <c r="C42" s="2">
        <v>80.3</v>
      </c>
      <c r="D42">
        <v>2020</v>
      </c>
    </row>
    <row r="43" spans="1:4" x14ac:dyDescent="0.2">
      <c r="A43">
        <v>44</v>
      </c>
      <c r="B43" t="s">
        <v>277</v>
      </c>
      <c r="C43" s="2">
        <v>78.5</v>
      </c>
      <c r="D43">
        <v>2020</v>
      </c>
    </row>
    <row r="44" spans="1:4" x14ac:dyDescent="0.2">
      <c r="A44">
        <v>41</v>
      </c>
      <c r="B44" t="s">
        <v>274</v>
      </c>
      <c r="C44" s="2">
        <v>78.8</v>
      </c>
      <c r="D44">
        <v>2020</v>
      </c>
    </row>
    <row r="45" spans="1:4" x14ac:dyDescent="0.2">
      <c r="A45">
        <v>29</v>
      </c>
      <c r="B45" t="s">
        <v>262</v>
      </c>
      <c r="C45" s="2">
        <v>81</v>
      </c>
      <c r="D45">
        <v>2020</v>
      </c>
    </row>
    <row r="46" spans="1:4" x14ac:dyDescent="0.2">
      <c r="A46">
        <v>35</v>
      </c>
      <c r="B46" t="s">
        <v>268</v>
      </c>
      <c r="C46" s="2">
        <v>79.400000000000006</v>
      </c>
      <c r="D46">
        <v>2020</v>
      </c>
    </row>
    <row r="47" spans="1:4" x14ac:dyDescent="0.2">
      <c r="A47">
        <v>30</v>
      </c>
      <c r="B47" t="s">
        <v>263</v>
      </c>
      <c r="C47" s="2">
        <v>80.900000000000006</v>
      </c>
      <c r="D47">
        <v>2020</v>
      </c>
    </row>
    <row r="48" spans="1:4" x14ac:dyDescent="0.2">
      <c r="A48">
        <v>151</v>
      </c>
      <c r="B48" t="s">
        <v>383</v>
      </c>
      <c r="C48" s="2">
        <v>67.099999999999994</v>
      </c>
      <c r="D48">
        <v>2020</v>
      </c>
    </row>
    <row r="49" spans="1:4" x14ac:dyDescent="0.2">
      <c r="A49">
        <v>46</v>
      </c>
      <c r="B49" t="s">
        <v>279</v>
      </c>
      <c r="C49" s="2">
        <v>78.2</v>
      </c>
      <c r="D49">
        <v>2020</v>
      </c>
    </row>
    <row r="50" spans="1:4" x14ac:dyDescent="0.2">
      <c r="A50">
        <v>96</v>
      </c>
      <c r="B50" t="s">
        <v>329</v>
      </c>
      <c r="C50" s="2">
        <v>74.099999999999994</v>
      </c>
      <c r="D50">
        <v>2020</v>
      </c>
    </row>
    <row r="51" spans="1:4" x14ac:dyDescent="0.2">
      <c r="A51">
        <v>184</v>
      </c>
      <c r="B51" t="s">
        <v>416</v>
      </c>
      <c r="C51" s="2">
        <v>60.7</v>
      </c>
      <c r="D51">
        <v>2020</v>
      </c>
    </row>
    <row r="52" spans="1:4" x14ac:dyDescent="0.2">
      <c r="A52">
        <v>79</v>
      </c>
      <c r="B52" t="s">
        <v>312</v>
      </c>
      <c r="C52" s="2">
        <v>75.400000000000006</v>
      </c>
      <c r="D52">
        <v>2020</v>
      </c>
    </row>
    <row r="53" spans="1:4" x14ac:dyDescent="0.2">
      <c r="A53">
        <v>141</v>
      </c>
      <c r="B53" t="s">
        <v>373</v>
      </c>
      <c r="C53" s="2">
        <v>69.5</v>
      </c>
      <c r="D53">
        <v>2020</v>
      </c>
    </row>
    <row r="54" spans="1:4" x14ac:dyDescent="0.2">
      <c r="A54">
        <v>58</v>
      </c>
      <c r="B54" t="s">
        <v>291</v>
      </c>
      <c r="C54" s="2">
        <v>77</v>
      </c>
      <c r="D54">
        <v>2020</v>
      </c>
    </row>
    <row r="55" spans="1:4" x14ac:dyDescent="0.2">
      <c r="A55">
        <v>120</v>
      </c>
      <c r="B55" t="s">
        <v>352</v>
      </c>
      <c r="C55" s="2">
        <v>72</v>
      </c>
      <c r="D55">
        <v>2020</v>
      </c>
    </row>
    <row r="56" spans="1:4" x14ac:dyDescent="0.2">
      <c r="A56">
        <v>106</v>
      </c>
      <c r="B56" t="s">
        <v>339</v>
      </c>
      <c r="C56" s="2">
        <v>73.3</v>
      </c>
      <c r="D56">
        <v>2020</v>
      </c>
    </row>
    <row r="57" spans="1:4" x14ac:dyDescent="0.2">
      <c r="A57">
        <v>188</v>
      </c>
      <c r="B57" t="s">
        <v>420</v>
      </c>
      <c r="C57" s="2">
        <v>58.7</v>
      </c>
      <c r="D57">
        <v>2020</v>
      </c>
    </row>
    <row r="58" spans="1:4" x14ac:dyDescent="0.2">
      <c r="A58">
        <v>156</v>
      </c>
      <c r="B58" t="s">
        <v>388</v>
      </c>
      <c r="C58" s="2">
        <v>66.3</v>
      </c>
      <c r="D58">
        <v>2020</v>
      </c>
    </row>
    <row r="59" spans="1:4" x14ac:dyDescent="0.2">
      <c r="A59">
        <v>40</v>
      </c>
      <c r="B59" t="s">
        <v>273</v>
      </c>
      <c r="C59" s="2">
        <v>78.8</v>
      </c>
      <c r="D59">
        <v>2020</v>
      </c>
    </row>
    <row r="60" spans="1:4" x14ac:dyDescent="0.2">
      <c r="A60">
        <v>185</v>
      </c>
      <c r="B60" t="s">
        <v>417</v>
      </c>
      <c r="C60" s="2">
        <v>60.2</v>
      </c>
      <c r="D60">
        <v>2020</v>
      </c>
    </row>
    <row r="61" spans="1:4" x14ac:dyDescent="0.2">
      <c r="A61">
        <v>154</v>
      </c>
      <c r="B61" t="s">
        <v>386</v>
      </c>
      <c r="C61" s="2">
        <v>66.599999999999994</v>
      </c>
      <c r="D61">
        <v>2020</v>
      </c>
    </row>
    <row r="62" spans="1:4" x14ac:dyDescent="0.2">
      <c r="A62">
        <v>93</v>
      </c>
      <c r="B62" t="s">
        <v>326</v>
      </c>
      <c r="C62" s="2">
        <v>74.400000000000006</v>
      </c>
      <c r="D62">
        <v>2020</v>
      </c>
    </row>
    <row r="63" spans="1:4" x14ac:dyDescent="0.2">
      <c r="A63">
        <v>148</v>
      </c>
      <c r="B63" t="s">
        <v>380</v>
      </c>
      <c r="C63" s="2">
        <v>67.400000000000006</v>
      </c>
      <c r="D63">
        <v>2020</v>
      </c>
    </row>
    <row r="64" spans="1:4" x14ac:dyDescent="0.2">
      <c r="A64">
        <v>22</v>
      </c>
      <c r="B64" t="s">
        <v>255</v>
      </c>
      <c r="C64" s="2">
        <v>81.900000000000006</v>
      </c>
      <c r="D64">
        <v>2020</v>
      </c>
    </row>
    <row r="65" spans="1:4" x14ac:dyDescent="0.2">
      <c r="A65">
        <v>12</v>
      </c>
      <c r="B65" t="s">
        <v>245</v>
      </c>
      <c r="C65" s="2">
        <v>82.7</v>
      </c>
      <c r="D65">
        <v>2020</v>
      </c>
    </row>
    <row r="66" spans="1:4" x14ac:dyDescent="0.2">
      <c r="A66">
        <v>155</v>
      </c>
      <c r="B66" t="s">
        <v>387</v>
      </c>
      <c r="C66" s="2">
        <v>66.5</v>
      </c>
      <c r="D66">
        <v>2020</v>
      </c>
    </row>
    <row r="67" spans="1:4" x14ac:dyDescent="0.2">
      <c r="A67">
        <v>174</v>
      </c>
      <c r="B67" t="s">
        <v>406</v>
      </c>
      <c r="C67" s="2">
        <v>62.1</v>
      </c>
      <c r="D67">
        <v>2020</v>
      </c>
    </row>
    <row r="68" spans="1:4" x14ac:dyDescent="0.2">
      <c r="A68">
        <v>101</v>
      </c>
      <c r="B68" t="s">
        <v>334</v>
      </c>
      <c r="C68" s="2">
        <v>73.8</v>
      </c>
      <c r="D68">
        <v>2020</v>
      </c>
    </row>
    <row r="69" spans="1:4" x14ac:dyDescent="0.2">
      <c r="A69">
        <v>26</v>
      </c>
      <c r="B69" t="s">
        <v>259</v>
      </c>
      <c r="C69" s="2">
        <v>81.3</v>
      </c>
      <c r="D69">
        <v>2020</v>
      </c>
    </row>
    <row r="70" spans="1:4" x14ac:dyDescent="0.2">
      <c r="A70">
        <v>167</v>
      </c>
      <c r="B70" t="s">
        <v>399</v>
      </c>
      <c r="C70" s="2">
        <v>64.099999999999994</v>
      </c>
      <c r="D70">
        <v>2020</v>
      </c>
    </row>
    <row r="71" spans="1:4" x14ac:dyDescent="0.2">
      <c r="A71">
        <v>20</v>
      </c>
      <c r="B71" t="s">
        <v>253</v>
      </c>
      <c r="C71" s="2">
        <v>82.2</v>
      </c>
      <c r="D71">
        <v>2020</v>
      </c>
    </row>
    <row r="72" spans="1:4" x14ac:dyDescent="0.2">
      <c r="A72">
        <v>116</v>
      </c>
      <c r="B72" t="s">
        <v>348</v>
      </c>
      <c r="C72" s="2">
        <v>72.400000000000006</v>
      </c>
      <c r="D72">
        <v>2020</v>
      </c>
    </row>
    <row r="73" spans="1:4" x14ac:dyDescent="0.2">
      <c r="A73">
        <v>95</v>
      </c>
      <c r="B73" t="s">
        <v>328</v>
      </c>
      <c r="C73" s="2">
        <v>74.3</v>
      </c>
      <c r="D73">
        <v>2020</v>
      </c>
    </row>
    <row r="74" spans="1:4" x14ac:dyDescent="0.2">
      <c r="A74">
        <v>176</v>
      </c>
      <c r="B74" t="s">
        <v>408</v>
      </c>
      <c r="C74" s="2">
        <v>61.6</v>
      </c>
      <c r="D74">
        <v>2020</v>
      </c>
    </row>
    <row r="75" spans="1:4" x14ac:dyDescent="0.2">
      <c r="A75">
        <v>189</v>
      </c>
      <c r="B75" t="s">
        <v>421</v>
      </c>
      <c r="C75" s="2">
        <v>58.3</v>
      </c>
      <c r="D75">
        <v>2020</v>
      </c>
    </row>
    <row r="76" spans="1:4" x14ac:dyDescent="0.2">
      <c r="A76">
        <v>137</v>
      </c>
      <c r="B76" t="s">
        <v>369</v>
      </c>
      <c r="C76" s="2">
        <v>69.900000000000006</v>
      </c>
      <c r="D76">
        <v>2020</v>
      </c>
    </row>
    <row r="77" spans="1:4" x14ac:dyDescent="0.2">
      <c r="A77">
        <v>169</v>
      </c>
      <c r="B77" t="s">
        <v>401</v>
      </c>
      <c r="C77" s="2">
        <v>64</v>
      </c>
      <c r="D77">
        <v>2020</v>
      </c>
    </row>
    <row r="78" spans="1:4" x14ac:dyDescent="0.2">
      <c r="A78">
        <v>81</v>
      </c>
      <c r="B78" t="s">
        <v>314</v>
      </c>
      <c r="C78" s="2">
        <v>75.3</v>
      </c>
      <c r="D78">
        <v>2020</v>
      </c>
    </row>
    <row r="79" spans="1:4" x14ac:dyDescent="0.2">
      <c r="A79">
        <v>1</v>
      </c>
      <c r="B79" t="s">
        <v>234</v>
      </c>
      <c r="C79" s="2">
        <v>84.9</v>
      </c>
      <c r="D79">
        <v>2020</v>
      </c>
    </row>
    <row r="80" spans="1:4" x14ac:dyDescent="0.2">
      <c r="A80">
        <v>59</v>
      </c>
      <c r="B80" t="s">
        <v>292</v>
      </c>
      <c r="C80" s="2">
        <v>76.900000000000006</v>
      </c>
      <c r="D80">
        <v>2020</v>
      </c>
    </row>
    <row r="81" spans="1:4" x14ac:dyDescent="0.2">
      <c r="A81">
        <v>8</v>
      </c>
      <c r="B81" t="s">
        <v>241</v>
      </c>
      <c r="C81" s="2">
        <v>83</v>
      </c>
      <c r="D81">
        <v>2020</v>
      </c>
    </row>
    <row r="82" spans="1:4" x14ac:dyDescent="0.2">
      <c r="A82">
        <v>139</v>
      </c>
      <c r="B82" t="s">
        <v>371</v>
      </c>
      <c r="C82" s="2">
        <v>69.7</v>
      </c>
      <c r="D82">
        <v>2020</v>
      </c>
    </row>
    <row r="83" spans="1:4" x14ac:dyDescent="0.2">
      <c r="A83">
        <v>125</v>
      </c>
      <c r="B83" t="s">
        <v>357</v>
      </c>
      <c r="C83" s="2">
        <v>71.7</v>
      </c>
      <c r="D83">
        <v>2020</v>
      </c>
    </row>
    <row r="84" spans="1:4" x14ac:dyDescent="0.2">
      <c r="A84">
        <v>64</v>
      </c>
      <c r="B84" t="s">
        <v>297</v>
      </c>
      <c r="C84" s="2">
        <v>76.7</v>
      </c>
      <c r="D84">
        <v>2020</v>
      </c>
    </row>
    <row r="85" spans="1:4" x14ac:dyDescent="0.2">
      <c r="A85">
        <v>132</v>
      </c>
      <c r="B85" t="s">
        <v>364</v>
      </c>
      <c r="C85" s="2">
        <v>70.599999999999994</v>
      </c>
      <c r="D85">
        <v>2020</v>
      </c>
    </row>
    <row r="86" spans="1:4" x14ac:dyDescent="0.2">
      <c r="A86">
        <v>16</v>
      </c>
      <c r="B86" t="s">
        <v>249</v>
      </c>
      <c r="C86" s="2">
        <v>82.3</v>
      </c>
      <c r="D86">
        <v>2020</v>
      </c>
    </row>
    <row r="87" spans="1:4" x14ac:dyDescent="0.2">
      <c r="A87">
        <v>9</v>
      </c>
      <c r="B87" t="s">
        <v>242</v>
      </c>
      <c r="C87" s="2">
        <v>83</v>
      </c>
      <c r="D87">
        <v>2020</v>
      </c>
    </row>
    <row r="88" spans="1:4" x14ac:dyDescent="0.2">
      <c r="A88">
        <v>6</v>
      </c>
      <c r="B88" t="s">
        <v>239</v>
      </c>
      <c r="C88" s="2">
        <v>83.4</v>
      </c>
      <c r="D88">
        <v>2020</v>
      </c>
    </row>
    <row r="89" spans="1:4" x14ac:dyDescent="0.2">
      <c r="A89">
        <v>191</v>
      </c>
      <c r="B89" t="s">
        <v>423</v>
      </c>
      <c r="C89" s="2">
        <v>57.8</v>
      </c>
      <c r="D89">
        <v>2020</v>
      </c>
    </row>
    <row r="90" spans="1:4" x14ac:dyDescent="0.2">
      <c r="A90">
        <v>90</v>
      </c>
      <c r="B90" t="s">
        <v>323</v>
      </c>
      <c r="C90" s="2">
        <v>74.5</v>
      </c>
      <c r="D90">
        <v>2020</v>
      </c>
    </row>
    <row r="91" spans="1:4" x14ac:dyDescent="0.2">
      <c r="A91">
        <v>2</v>
      </c>
      <c r="B91" t="s">
        <v>235</v>
      </c>
      <c r="C91" s="2">
        <v>84.6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102</v>
      </c>
      <c r="B93" t="s">
        <v>335</v>
      </c>
      <c r="C93" s="2">
        <v>73.599999999999994</v>
      </c>
      <c r="D93">
        <v>2020</v>
      </c>
    </row>
    <row r="94" spans="1:4" x14ac:dyDescent="0.2">
      <c r="A94">
        <v>153</v>
      </c>
      <c r="B94" t="s">
        <v>385</v>
      </c>
      <c r="C94" s="2">
        <v>66.7</v>
      </c>
      <c r="D94">
        <v>2020</v>
      </c>
    </row>
    <row r="95" spans="1:4" x14ac:dyDescent="0.2">
      <c r="A95">
        <v>143</v>
      </c>
      <c r="B95" t="s">
        <v>375</v>
      </c>
      <c r="C95" s="2">
        <v>68.400000000000006</v>
      </c>
      <c r="D95">
        <v>2020</v>
      </c>
    </row>
    <row r="96" spans="1:4" x14ac:dyDescent="0.2">
      <c r="A96">
        <v>77</v>
      </c>
      <c r="B96" t="s">
        <v>310</v>
      </c>
      <c r="C96" s="2">
        <v>75.5</v>
      </c>
      <c r="D96">
        <v>2020</v>
      </c>
    </row>
    <row r="97" spans="1:4" x14ac:dyDescent="0.2">
      <c r="A97">
        <v>127</v>
      </c>
      <c r="B97" t="s">
        <v>359</v>
      </c>
      <c r="C97" s="2">
        <v>71.5</v>
      </c>
      <c r="D97">
        <v>2020</v>
      </c>
    </row>
    <row r="98" spans="1:4" x14ac:dyDescent="0.2">
      <c r="A98">
        <v>146</v>
      </c>
      <c r="B98" t="s">
        <v>378</v>
      </c>
      <c r="C98" s="2">
        <v>67.900000000000006</v>
      </c>
      <c r="D98">
        <v>2020</v>
      </c>
    </row>
    <row r="99" spans="1:4" x14ac:dyDescent="0.2">
      <c r="A99">
        <v>76</v>
      </c>
      <c r="B99" t="s">
        <v>309</v>
      </c>
      <c r="C99" s="2">
        <v>75.599999999999994</v>
      </c>
      <c r="D99">
        <v>2020</v>
      </c>
    </row>
    <row r="100" spans="1:4" x14ac:dyDescent="0.2">
      <c r="A100">
        <v>80</v>
      </c>
      <c r="B100" t="s">
        <v>313</v>
      </c>
      <c r="C100" s="2">
        <v>75.3</v>
      </c>
      <c r="D100">
        <v>2020</v>
      </c>
    </row>
    <row r="101" spans="1:4" x14ac:dyDescent="0.2">
      <c r="A101">
        <v>38</v>
      </c>
      <c r="B101" t="s">
        <v>271</v>
      </c>
      <c r="C101" s="2">
        <v>78.900000000000006</v>
      </c>
      <c r="D101">
        <v>2020</v>
      </c>
    </row>
    <row r="102" spans="1:4" x14ac:dyDescent="0.2">
      <c r="A102">
        <v>194</v>
      </c>
      <c r="B102" t="s">
        <v>426</v>
      </c>
      <c r="C102" s="2">
        <v>54.3</v>
      </c>
      <c r="D102">
        <v>2020</v>
      </c>
    </row>
    <row r="103" spans="1:4" x14ac:dyDescent="0.2">
      <c r="A103">
        <v>168</v>
      </c>
      <c r="B103" t="s">
        <v>400</v>
      </c>
      <c r="C103" s="2">
        <v>64.099999999999994</v>
      </c>
      <c r="D103">
        <v>2020</v>
      </c>
    </row>
    <row r="104" spans="1:4" x14ac:dyDescent="0.2">
      <c r="A104">
        <v>110</v>
      </c>
      <c r="B104" t="s">
        <v>343</v>
      </c>
      <c r="C104" s="2">
        <v>72.900000000000006</v>
      </c>
      <c r="D104">
        <v>2020</v>
      </c>
    </row>
    <row r="105" spans="1:4" x14ac:dyDescent="0.2">
      <c r="A105">
        <v>31</v>
      </c>
      <c r="B105" t="s">
        <v>264</v>
      </c>
      <c r="C105" s="2">
        <v>80.7</v>
      </c>
      <c r="D105">
        <v>2020</v>
      </c>
    </row>
    <row r="106" spans="1:4" x14ac:dyDescent="0.2">
      <c r="A106">
        <v>72</v>
      </c>
      <c r="B106" t="s">
        <v>305</v>
      </c>
      <c r="C106" s="2">
        <v>75.900000000000006</v>
      </c>
      <c r="D106">
        <v>2020</v>
      </c>
    </row>
    <row r="107" spans="1:4" x14ac:dyDescent="0.2">
      <c r="A107">
        <v>19</v>
      </c>
      <c r="B107" t="s">
        <v>252</v>
      </c>
      <c r="C107" s="2">
        <v>82.3</v>
      </c>
      <c r="D107">
        <v>2020</v>
      </c>
    </row>
    <row r="108" spans="1:4" x14ac:dyDescent="0.2">
      <c r="A108">
        <v>152</v>
      </c>
      <c r="B108" t="s">
        <v>384</v>
      </c>
      <c r="C108" s="2">
        <v>67</v>
      </c>
      <c r="D108">
        <v>2020</v>
      </c>
    </row>
    <row r="109" spans="1:4" x14ac:dyDescent="0.2">
      <c r="A109">
        <v>165</v>
      </c>
      <c r="B109" t="s">
        <v>397</v>
      </c>
      <c r="C109" s="2">
        <v>64.3</v>
      </c>
      <c r="D109">
        <v>2020</v>
      </c>
    </row>
    <row r="110" spans="1:4" x14ac:dyDescent="0.2">
      <c r="A110">
        <v>68</v>
      </c>
      <c r="B110" t="s">
        <v>301</v>
      </c>
      <c r="C110" s="2">
        <v>76.2</v>
      </c>
      <c r="D110">
        <v>2020</v>
      </c>
    </row>
    <row r="111" spans="1:4" x14ac:dyDescent="0.2">
      <c r="A111">
        <v>39</v>
      </c>
      <c r="B111" t="s">
        <v>272</v>
      </c>
      <c r="C111" s="2">
        <v>78.900000000000006</v>
      </c>
      <c r="D111">
        <v>2020</v>
      </c>
    </row>
    <row r="112" spans="1:4" x14ac:dyDescent="0.2">
      <c r="A112">
        <v>187</v>
      </c>
      <c r="B112" t="s">
        <v>419</v>
      </c>
      <c r="C112" s="2">
        <v>59.3</v>
      </c>
      <c r="D112">
        <v>2020</v>
      </c>
    </row>
    <row r="113" spans="1:4" x14ac:dyDescent="0.2">
      <c r="A113">
        <v>13</v>
      </c>
      <c r="B113" t="s">
        <v>246</v>
      </c>
      <c r="C113" s="2">
        <v>82.5</v>
      </c>
      <c r="D113">
        <v>2020</v>
      </c>
    </row>
    <row r="114" spans="1:4" x14ac:dyDescent="0.2">
      <c r="A114">
        <v>98</v>
      </c>
      <c r="B114" t="s">
        <v>331</v>
      </c>
      <c r="C114" s="2">
        <v>74.099999999999994</v>
      </c>
      <c r="D114">
        <v>2020</v>
      </c>
    </row>
    <row r="115" spans="1:4" x14ac:dyDescent="0.2">
      <c r="A115">
        <v>160</v>
      </c>
      <c r="B115" t="s">
        <v>392</v>
      </c>
      <c r="C115" s="2">
        <v>64.900000000000006</v>
      </c>
      <c r="D115">
        <v>2020</v>
      </c>
    </row>
    <row r="116" spans="1:4" x14ac:dyDescent="0.2">
      <c r="A116">
        <v>86</v>
      </c>
      <c r="B116" t="s">
        <v>319</v>
      </c>
      <c r="C116" s="2">
        <v>75</v>
      </c>
      <c r="D116">
        <v>2020</v>
      </c>
    </row>
    <row r="117" spans="1:4" x14ac:dyDescent="0.2">
      <c r="A117">
        <v>84</v>
      </c>
      <c r="B117" t="s">
        <v>317</v>
      </c>
      <c r="C117" s="2">
        <v>75.099999999999994</v>
      </c>
      <c r="D117">
        <v>2020</v>
      </c>
    </row>
    <row r="118" spans="1:4" x14ac:dyDescent="0.2">
      <c r="A118">
        <v>145</v>
      </c>
      <c r="B118" t="s">
        <v>377</v>
      </c>
      <c r="C118" s="2">
        <v>67.900000000000006</v>
      </c>
      <c r="D118">
        <v>2020</v>
      </c>
    </row>
    <row r="119" spans="1:4" x14ac:dyDescent="0.2">
      <c r="A119">
        <v>121</v>
      </c>
      <c r="B119" t="s">
        <v>353</v>
      </c>
      <c r="C119" s="2">
        <v>71.900000000000006</v>
      </c>
      <c r="D119">
        <v>2020</v>
      </c>
    </row>
    <row r="120" spans="1:4" x14ac:dyDescent="0.2">
      <c r="A120">
        <v>135</v>
      </c>
      <c r="B120" t="s">
        <v>367</v>
      </c>
      <c r="C120" s="2">
        <v>69.900000000000006</v>
      </c>
      <c r="D120">
        <v>2020</v>
      </c>
    </row>
    <row r="121" spans="1:4" x14ac:dyDescent="0.2">
      <c r="A121">
        <v>60</v>
      </c>
      <c r="B121" t="s">
        <v>293</v>
      </c>
      <c r="C121" s="2">
        <v>76.900000000000006</v>
      </c>
      <c r="D121">
        <v>2020</v>
      </c>
    </row>
    <row r="122" spans="1:4" x14ac:dyDescent="0.2">
      <c r="A122">
        <v>67</v>
      </c>
      <c r="B122" t="s">
        <v>300</v>
      </c>
      <c r="C122" s="2">
        <v>76.7</v>
      </c>
      <c r="D122">
        <v>2020</v>
      </c>
    </row>
    <row r="123" spans="1:4" x14ac:dyDescent="0.2">
      <c r="A123">
        <v>183</v>
      </c>
      <c r="B123" t="s">
        <v>415</v>
      </c>
      <c r="C123" s="2">
        <v>60.9</v>
      </c>
      <c r="D123">
        <v>2020</v>
      </c>
    </row>
    <row r="124" spans="1:4" x14ac:dyDescent="0.2">
      <c r="A124">
        <v>150</v>
      </c>
      <c r="B124" t="s">
        <v>382</v>
      </c>
      <c r="C124" s="2">
        <v>67.099999999999994</v>
      </c>
      <c r="D124">
        <v>2020</v>
      </c>
    </row>
    <row r="125" spans="1:4" x14ac:dyDescent="0.2">
      <c r="A125">
        <v>171</v>
      </c>
      <c r="B125" t="s">
        <v>403</v>
      </c>
      <c r="C125" s="2">
        <v>63.7</v>
      </c>
      <c r="D125">
        <v>2020</v>
      </c>
    </row>
    <row r="126" spans="1:4" x14ac:dyDescent="0.2">
      <c r="A126">
        <v>131</v>
      </c>
      <c r="B126" t="s">
        <v>363</v>
      </c>
      <c r="C126" s="2">
        <v>70.8</v>
      </c>
      <c r="D126">
        <v>2020</v>
      </c>
    </row>
    <row r="127" spans="1:4" x14ac:dyDescent="0.2">
      <c r="A127">
        <v>17</v>
      </c>
      <c r="B127" t="s">
        <v>250</v>
      </c>
      <c r="C127" s="2">
        <v>82.3</v>
      </c>
      <c r="D127">
        <v>2020</v>
      </c>
    </row>
    <row r="128" spans="1:4" x14ac:dyDescent="0.2">
      <c r="A128">
        <v>18</v>
      </c>
      <c r="B128" t="s">
        <v>251</v>
      </c>
      <c r="C128" s="2">
        <v>82.3</v>
      </c>
      <c r="D128">
        <v>2020</v>
      </c>
    </row>
    <row r="129" spans="1:4" x14ac:dyDescent="0.2">
      <c r="A129">
        <v>92</v>
      </c>
      <c r="B129" t="s">
        <v>325</v>
      </c>
      <c r="C129" s="2">
        <v>74.5</v>
      </c>
      <c r="D129">
        <v>2020</v>
      </c>
    </row>
    <row r="130" spans="1:4" x14ac:dyDescent="0.2">
      <c r="A130">
        <v>173</v>
      </c>
      <c r="B130" t="s">
        <v>405</v>
      </c>
      <c r="C130" s="2">
        <v>62.4</v>
      </c>
      <c r="D130">
        <v>2020</v>
      </c>
    </row>
    <row r="131" spans="1:4" x14ac:dyDescent="0.2">
      <c r="A131">
        <v>192</v>
      </c>
      <c r="B131" t="s">
        <v>424</v>
      </c>
      <c r="C131" s="2">
        <v>54.7</v>
      </c>
      <c r="D131">
        <v>2020</v>
      </c>
    </row>
    <row r="132" spans="1:4" x14ac:dyDescent="0.2">
      <c r="A132">
        <v>75</v>
      </c>
      <c r="B132" t="s">
        <v>308</v>
      </c>
      <c r="C132" s="2">
        <v>75.8</v>
      </c>
      <c r="D132">
        <v>2020</v>
      </c>
    </row>
    <row r="133" spans="1:4" x14ac:dyDescent="0.2">
      <c r="A133">
        <v>14</v>
      </c>
      <c r="B133" t="s">
        <v>247</v>
      </c>
      <c r="C133" s="2">
        <v>82.4</v>
      </c>
      <c r="D133">
        <v>2020</v>
      </c>
    </row>
    <row r="134" spans="1:4" x14ac:dyDescent="0.2">
      <c r="A134">
        <v>49</v>
      </c>
      <c r="B134" t="s">
        <v>282</v>
      </c>
      <c r="C134" s="2">
        <v>77.900000000000006</v>
      </c>
      <c r="D134">
        <v>2020</v>
      </c>
    </row>
    <row r="135" spans="1:4" x14ac:dyDescent="0.2">
      <c r="A135">
        <v>149</v>
      </c>
      <c r="B135" t="s">
        <v>381</v>
      </c>
      <c r="C135" s="2">
        <v>67.3</v>
      </c>
      <c r="D135">
        <v>2020</v>
      </c>
    </row>
    <row r="136" spans="1:4" x14ac:dyDescent="0.2">
      <c r="A136">
        <v>99</v>
      </c>
      <c r="B136" t="s">
        <v>332</v>
      </c>
      <c r="C136" s="2">
        <v>73.900000000000006</v>
      </c>
      <c r="D136">
        <v>2020</v>
      </c>
    </row>
    <row r="137" spans="1:4" x14ac:dyDescent="0.2">
      <c r="A137">
        <v>97</v>
      </c>
      <c r="B137" t="s">
        <v>330</v>
      </c>
      <c r="C137" s="2">
        <v>74.099999999999994</v>
      </c>
      <c r="D137">
        <v>2020</v>
      </c>
    </row>
    <row r="138" spans="1:4" x14ac:dyDescent="0.2">
      <c r="A138">
        <v>45</v>
      </c>
      <c r="B138" t="s">
        <v>278</v>
      </c>
      <c r="C138" s="2">
        <v>78.5</v>
      </c>
      <c r="D138">
        <v>2020</v>
      </c>
    </row>
    <row r="139" spans="1:4" x14ac:dyDescent="0.2">
      <c r="A139">
        <v>163</v>
      </c>
      <c r="B139" t="s">
        <v>395</v>
      </c>
      <c r="C139" s="2">
        <v>64.5</v>
      </c>
      <c r="D139">
        <v>2020</v>
      </c>
    </row>
    <row r="140" spans="1:4" x14ac:dyDescent="0.2">
      <c r="A140">
        <v>94</v>
      </c>
      <c r="B140" t="s">
        <v>327</v>
      </c>
      <c r="C140" s="2">
        <v>74.3</v>
      </c>
      <c r="D140">
        <v>2020</v>
      </c>
    </row>
    <row r="141" spans="1:4" x14ac:dyDescent="0.2">
      <c r="A141">
        <v>65</v>
      </c>
      <c r="B141" t="s">
        <v>298</v>
      </c>
      <c r="C141" s="2">
        <v>76.7</v>
      </c>
      <c r="D141">
        <v>2020</v>
      </c>
    </row>
    <row r="142" spans="1:4" x14ac:dyDescent="0.2">
      <c r="A142">
        <v>128</v>
      </c>
      <c r="B142" t="s">
        <v>360</v>
      </c>
      <c r="C142" s="2">
        <v>71.2</v>
      </c>
      <c r="D142">
        <v>2020</v>
      </c>
    </row>
    <row r="143" spans="1:4" x14ac:dyDescent="0.2">
      <c r="A143">
        <v>42</v>
      </c>
      <c r="B143" t="s">
        <v>275</v>
      </c>
      <c r="C143" s="2">
        <v>78.7</v>
      </c>
      <c r="D143">
        <v>2020</v>
      </c>
    </row>
    <row r="144" spans="1:4" x14ac:dyDescent="0.2">
      <c r="A144">
        <v>21</v>
      </c>
      <c r="B144" t="s">
        <v>254</v>
      </c>
      <c r="C144" s="2">
        <v>82.1</v>
      </c>
      <c r="D144">
        <v>2020</v>
      </c>
    </row>
    <row r="145" spans="1:4" x14ac:dyDescent="0.2">
      <c r="A145">
        <v>34</v>
      </c>
      <c r="B145" t="s">
        <v>267</v>
      </c>
      <c r="C145" s="2">
        <v>80.2</v>
      </c>
      <c r="D145">
        <v>2020</v>
      </c>
    </row>
    <row r="146" spans="1:4" x14ac:dyDescent="0.2">
      <c r="A146">
        <v>70</v>
      </c>
      <c r="B146" t="s">
        <v>303</v>
      </c>
      <c r="C146" s="2">
        <v>76.099999999999994</v>
      </c>
      <c r="D146">
        <v>2020</v>
      </c>
    </row>
    <row r="147" spans="1:4" x14ac:dyDescent="0.2">
      <c r="A147">
        <v>113</v>
      </c>
      <c r="B147" t="s">
        <v>345</v>
      </c>
      <c r="C147" s="2">
        <v>72.900000000000006</v>
      </c>
      <c r="D147">
        <v>2020</v>
      </c>
    </row>
    <row r="148" spans="1:4" x14ac:dyDescent="0.2">
      <c r="A148">
        <v>142</v>
      </c>
      <c r="B148" t="s">
        <v>374</v>
      </c>
      <c r="C148" s="2">
        <v>69</v>
      </c>
      <c r="D148">
        <v>2020</v>
      </c>
    </row>
    <row r="149" spans="1:4" x14ac:dyDescent="0.2">
      <c r="A149">
        <v>88</v>
      </c>
      <c r="B149" t="s">
        <v>321</v>
      </c>
      <c r="C149" s="2">
        <v>74.8</v>
      </c>
      <c r="D149">
        <v>2020</v>
      </c>
    </row>
    <row r="150" spans="1:4" x14ac:dyDescent="0.2">
      <c r="A150">
        <v>69</v>
      </c>
      <c r="B150" t="s">
        <v>302</v>
      </c>
      <c r="C150" s="2">
        <v>76.2</v>
      </c>
      <c r="D150">
        <v>2020</v>
      </c>
    </row>
    <row r="151" spans="1:4" x14ac:dyDescent="0.2">
      <c r="A151">
        <v>115</v>
      </c>
      <c r="B151" t="s">
        <v>347</v>
      </c>
      <c r="C151" s="2">
        <v>72.5</v>
      </c>
      <c r="D151">
        <v>2020</v>
      </c>
    </row>
    <row r="152" spans="1:4" x14ac:dyDescent="0.2">
      <c r="A152">
        <v>105</v>
      </c>
      <c r="B152" t="s">
        <v>338</v>
      </c>
      <c r="C152" s="2">
        <v>73.3</v>
      </c>
      <c r="D152">
        <v>2020</v>
      </c>
    </row>
    <row r="153" spans="1:4" x14ac:dyDescent="0.2">
      <c r="A153">
        <v>134</v>
      </c>
      <c r="B153" t="s">
        <v>366</v>
      </c>
      <c r="C153" s="2">
        <v>70.400000000000006</v>
      </c>
      <c r="D153">
        <v>2020</v>
      </c>
    </row>
    <row r="154" spans="1:4" x14ac:dyDescent="0.2">
      <c r="A154">
        <v>82</v>
      </c>
      <c r="B154" t="s">
        <v>315</v>
      </c>
      <c r="C154" s="2">
        <v>75.099999999999994</v>
      </c>
      <c r="D154">
        <v>2020</v>
      </c>
    </row>
    <row r="155" spans="1:4" x14ac:dyDescent="0.2">
      <c r="A155">
        <v>147</v>
      </c>
      <c r="B155" t="s">
        <v>379</v>
      </c>
      <c r="C155" s="2">
        <v>67.900000000000006</v>
      </c>
      <c r="D155">
        <v>2020</v>
      </c>
    </row>
    <row r="156" spans="1:4" x14ac:dyDescent="0.2">
      <c r="A156">
        <v>71</v>
      </c>
      <c r="B156" t="s">
        <v>304</v>
      </c>
      <c r="C156" s="2">
        <v>76</v>
      </c>
      <c r="D156">
        <v>2020</v>
      </c>
    </row>
    <row r="157" spans="1:4" x14ac:dyDescent="0.2">
      <c r="A157">
        <v>104</v>
      </c>
      <c r="B157" t="s">
        <v>337</v>
      </c>
      <c r="C157" s="2">
        <v>73.400000000000006</v>
      </c>
      <c r="D157">
        <v>2020</v>
      </c>
    </row>
    <row r="158" spans="1:4" x14ac:dyDescent="0.2">
      <c r="A158">
        <v>193</v>
      </c>
      <c r="B158" t="s">
        <v>425</v>
      </c>
      <c r="C158" s="2">
        <v>54.7</v>
      </c>
      <c r="D158">
        <v>2020</v>
      </c>
    </row>
    <row r="159" spans="1:4" x14ac:dyDescent="0.2">
      <c r="A159">
        <v>4</v>
      </c>
      <c r="B159" t="s">
        <v>237</v>
      </c>
      <c r="C159" s="2">
        <v>83.6</v>
      </c>
      <c r="D159">
        <v>2020</v>
      </c>
    </row>
    <row r="160" spans="1:4" x14ac:dyDescent="0.2">
      <c r="A160">
        <v>51</v>
      </c>
      <c r="B160" t="s">
        <v>284</v>
      </c>
      <c r="C160" s="2">
        <v>77.5</v>
      </c>
      <c r="D160">
        <v>2020</v>
      </c>
    </row>
    <row r="161" spans="1:4" x14ac:dyDescent="0.2">
      <c r="A161">
        <v>28</v>
      </c>
      <c r="B161" t="s">
        <v>261</v>
      </c>
      <c r="C161" s="2">
        <v>81.3</v>
      </c>
      <c r="D161">
        <v>2020</v>
      </c>
    </row>
    <row r="162" spans="1:4" x14ac:dyDescent="0.2">
      <c r="A162">
        <v>109</v>
      </c>
      <c r="B162" t="s">
        <v>342</v>
      </c>
      <c r="C162" s="2">
        <v>73</v>
      </c>
      <c r="D162">
        <v>2020</v>
      </c>
    </row>
    <row r="163" spans="1:4" x14ac:dyDescent="0.2">
      <c r="A163">
        <v>166</v>
      </c>
      <c r="B163" t="s">
        <v>398</v>
      </c>
      <c r="C163" s="2">
        <v>64.099999999999994</v>
      </c>
      <c r="D163">
        <v>2020</v>
      </c>
    </row>
    <row r="164" spans="1:4" x14ac:dyDescent="0.2">
      <c r="A164">
        <v>136</v>
      </c>
      <c r="B164" t="s">
        <v>368</v>
      </c>
      <c r="C164" s="2">
        <v>69.900000000000006</v>
      </c>
      <c r="D164">
        <v>2020</v>
      </c>
    </row>
    <row r="165" spans="1:4" x14ac:dyDescent="0.2">
      <c r="A165">
        <v>10</v>
      </c>
      <c r="B165" t="s">
        <v>243</v>
      </c>
      <c r="C165" s="2">
        <v>83</v>
      </c>
      <c r="D165">
        <v>2020</v>
      </c>
    </row>
    <row r="166" spans="1:4" x14ac:dyDescent="0.2">
      <c r="A166">
        <v>190</v>
      </c>
      <c r="B166" t="s">
        <v>422</v>
      </c>
      <c r="C166" s="2">
        <v>57.9</v>
      </c>
      <c r="D166">
        <v>2020</v>
      </c>
    </row>
    <row r="167" spans="1:4" x14ac:dyDescent="0.2">
      <c r="A167">
        <v>5</v>
      </c>
      <c r="B167" t="s">
        <v>238</v>
      </c>
      <c r="C167" s="2">
        <v>83.5</v>
      </c>
      <c r="D167">
        <v>2020</v>
      </c>
    </row>
    <row r="168" spans="1:4" x14ac:dyDescent="0.2">
      <c r="A168">
        <v>56</v>
      </c>
      <c r="B168" t="s">
        <v>289</v>
      </c>
      <c r="C168" s="2">
        <v>77</v>
      </c>
      <c r="D168">
        <v>2020</v>
      </c>
    </row>
    <row r="169" spans="1:4" x14ac:dyDescent="0.2">
      <c r="A169">
        <v>180</v>
      </c>
      <c r="B169" t="s">
        <v>412</v>
      </c>
      <c r="C169" s="2">
        <v>61.5</v>
      </c>
      <c r="D169">
        <v>2020</v>
      </c>
    </row>
    <row r="170" spans="1:4" x14ac:dyDescent="0.2">
      <c r="A170">
        <v>159</v>
      </c>
      <c r="B170" t="s">
        <v>391</v>
      </c>
      <c r="C170" s="2">
        <v>65.3</v>
      </c>
      <c r="D170">
        <v>2020</v>
      </c>
    </row>
    <row r="171" spans="1:4" x14ac:dyDescent="0.2">
      <c r="A171">
        <v>123</v>
      </c>
      <c r="B171" t="s">
        <v>355</v>
      </c>
      <c r="C171" s="2">
        <v>71.8</v>
      </c>
      <c r="D171">
        <v>2020</v>
      </c>
    </row>
    <row r="172" spans="1:4" x14ac:dyDescent="0.2">
      <c r="A172">
        <v>11</v>
      </c>
      <c r="B172" t="s">
        <v>244</v>
      </c>
      <c r="C172" s="2">
        <v>82.8</v>
      </c>
      <c r="D172">
        <v>2020</v>
      </c>
    </row>
    <row r="173" spans="1:4" x14ac:dyDescent="0.2">
      <c r="A173">
        <v>3</v>
      </c>
      <c r="B173" t="s">
        <v>236</v>
      </c>
      <c r="C173" s="2">
        <v>83.8</v>
      </c>
      <c r="D173">
        <v>2020</v>
      </c>
    </row>
    <row r="174" spans="1:4" x14ac:dyDescent="0.2">
      <c r="A174">
        <v>112</v>
      </c>
      <c r="B174" t="s">
        <v>344</v>
      </c>
      <c r="C174" s="2">
        <v>72.7</v>
      </c>
      <c r="D174">
        <v>2020</v>
      </c>
    </row>
    <row r="175" spans="1:4" x14ac:dyDescent="0.2">
      <c r="A175">
        <v>129</v>
      </c>
      <c r="B175" t="s">
        <v>361</v>
      </c>
      <c r="C175" s="2">
        <v>71.099999999999994</v>
      </c>
      <c r="D175">
        <v>2020</v>
      </c>
    </row>
    <row r="176" spans="1:4" x14ac:dyDescent="0.2">
      <c r="A176">
        <v>158</v>
      </c>
      <c r="B176" t="s">
        <v>390</v>
      </c>
      <c r="C176" s="2">
        <v>65.5</v>
      </c>
      <c r="D176">
        <v>2020</v>
      </c>
    </row>
    <row r="177" spans="1:4" x14ac:dyDescent="0.2">
      <c r="A177">
        <v>55</v>
      </c>
      <c r="B177" t="s">
        <v>288</v>
      </c>
      <c r="C177" s="2">
        <v>77.2</v>
      </c>
      <c r="D177">
        <v>2020</v>
      </c>
    </row>
    <row r="178" spans="1:4" x14ac:dyDescent="0.2">
      <c r="A178">
        <v>182</v>
      </c>
      <c r="B178" t="s">
        <v>414</v>
      </c>
      <c r="C178" s="2">
        <v>61</v>
      </c>
      <c r="D178">
        <v>2020</v>
      </c>
    </row>
    <row r="179" spans="1:4" x14ac:dyDescent="0.2">
      <c r="A179">
        <v>130</v>
      </c>
      <c r="B179" t="s">
        <v>362</v>
      </c>
      <c r="C179" s="2">
        <v>70.900000000000006</v>
      </c>
      <c r="D179">
        <v>2020</v>
      </c>
    </row>
    <row r="180" spans="1:4" x14ac:dyDescent="0.2">
      <c r="A180">
        <v>103</v>
      </c>
      <c r="B180" t="s">
        <v>336</v>
      </c>
      <c r="C180" s="2">
        <v>73.599999999999994</v>
      </c>
      <c r="D180">
        <v>2020</v>
      </c>
    </row>
    <row r="181" spans="1:4" x14ac:dyDescent="0.2">
      <c r="A181">
        <v>66</v>
      </c>
      <c r="B181" t="s">
        <v>299</v>
      </c>
      <c r="C181" s="2">
        <v>76.7</v>
      </c>
      <c r="D181">
        <v>2020</v>
      </c>
    </row>
    <row r="182" spans="1:4" x14ac:dyDescent="0.2">
      <c r="A182">
        <v>50</v>
      </c>
      <c r="B182" t="s">
        <v>283</v>
      </c>
      <c r="C182" s="2">
        <v>77.7</v>
      </c>
      <c r="D182">
        <v>2020</v>
      </c>
    </row>
    <row r="183" spans="1:4" x14ac:dyDescent="0.2">
      <c r="A183">
        <v>144</v>
      </c>
      <c r="B183" t="s">
        <v>376</v>
      </c>
      <c r="C183" s="2">
        <v>68.2</v>
      </c>
      <c r="D183">
        <v>2020</v>
      </c>
    </row>
    <row r="184" spans="1:4" x14ac:dyDescent="0.2">
      <c r="A184">
        <v>172</v>
      </c>
      <c r="B184" t="s">
        <v>404</v>
      </c>
      <c r="C184" s="2">
        <v>63.4</v>
      </c>
      <c r="D184">
        <v>2020</v>
      </c>
    </row>
    <row r="185" spans="1:4" x14ac:dyDescent="0.2">
      <c r="A185">
        <v>117</v>
      </c>
      <c r="B185" t="s">
        <v>349</v>
      </c>
      <c r="C185" s="2">
        <v>72.099999999999994</v>
      </c>
      <c r="D185">
        <v>2020</v>
      </c>
    </row>
    <row r="186" spans="1:4" x14ac:dyDescent="0.2">
      <c r="A186">
        <v>47</v>
      </c>
      <c r="B186" t="s">
        <v>280</v>
      </c>
      <c r="C186" s="2">
        <v>78</v>
      </c>
      <c r="D186">
        <v>2020</v>
      </c>
    </row>
    <row r="187" spans="1:4" x14ac:dyDescent="0.2">
      <c r="A187">
        <v>27</v>
      </c>
      <c r="B187" t="s">
        <v>260</v>
      </c>
      <c r="C187" s="2">
        <v>81.3</v>
      </c>
      <c r="D187">
        <v>2020</v>
      </c>
    </row>
    <row r="188" spans="1:4" x14ac:dyDescent="0.2">
      <c r="A188">
        <v>37</v>
      </c>
      <c r="B188" t="s">
        <v>270</v>
      </c>
      <c r="C188" s="2">
        <v>79.099999999999994</v>
      </c>
      <c r="D188">
        <v>2020</v>
      </c>
    </row>
    <row r="189" spans="1:4" x14ac:dyDescent="0.2">
      <c r="A189">
        <v>48</v>
      </c>
      <c r="B189" t="s">
        <v>281</v>
      </c>
      <c r="C189" s="2">
        <v>77.900000000000006</v>
      </c>
      <c r="D189">
        <v>2020</v>
      </c>
    </row>
    <row r="190" spans="1:4" x14ac:dyDescent="0.2">
      <c r="A190">
        <v>124</v>
      </c>
      <c r="B190" t="s">
        <v>356</v>
      </c>
      <c r="C190" s="2">
        <v>71.7</v>
      </c>
      <c r="D190">
        <v>2020</v>
      </c>
    </row>
    <row r="191" spans="1:4" x14ac:dyDescent="0.2">
      <c r="A191">
        <v>133</v>
      </c>
      <c r="B191" t="s">
        <v>365</v>
      </c>
      <c r="C191" s="2">
        <v>70.5</v>
      </c>
      <c r="D191">
        <v>2020</v>
      </c>
    </row>
    <row r="192" spans="1:4" x14ac:dyDescent="0.2">
      <c r="A192">
        <v>119</v>
      </c>
      <c r="B192" t="s">
        <v>351</v>
      </c>
      <c r="C192" s="2">
        <v>72.099999999999994</v>
      </c>
      <c r="D192">
        <v>2020</v>
      </c>
    </row>
    <row r="193" spans="1:4" x14ac:dyDescent="0.2">
      <c r="A193">
        <v>78</v>
      </c>
      <c r="B193" t="s">
        <v>311</v>
      </c>
      <c r="C193" s="2">
        <v>75.400000000000006</v>
      </c>
      <c r="D193">
        <v>2020</v>
      </c>
    </row>
    <row r="194" spans="1:4" x14ac:dyDescent="0.2">
      <c r="A194">
        <v>111</v>
      </c>
      <c r="B194" t="s">
        <v>104</v>
      </c>
      <c r="C194" s="2">
        <v>72.8</v>
      </c>
      <c r="D194">
        <v>2020</v>
      </c>
    </row>
    <row r="195" spans="1:4" x14ac:dyDescent="0.2">
      <c r="A195">
        <v>157</v>
      </c>
      <c r="B195" t="s">
        <v>389</v>
      </c>
      <c r="C195" s="2">
        <v>66.099999999999994</v>
      </c>
      <c r="D195">
        <v>2020</v>
      </c>
    </row>
    <row r="196" spans="1:4" x14ac:dyDescent="0.2">
      <c r="A196">
        <v>170</v>
      </c>
      <c r="B196" t="s">
        <v>402</v>
      </c>
      <c r="C196" s="2">
        <v>63.9</v>
      </c>
      <c r="D196">
        <v>2020</v>
      </c>
    </row>
    <row r="197" spans="1:4" x14ac:dyDescent="0.2">
      <c r="A197">
        <v>179</v>
      </c>
      <c r="B197" t="s">
        <v>411</v>
      </c>
      <c r="C197" s="2">
        <v>61.5</v>
      </c>
      <c r="D197">
        <v>2020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73FE4-5577-442A-96E8-ACEE2047C687}">
  <dimension ref="D6:I37"/>
  <sheetViews>
    <sheetView workbookViewId="0">
      <selection activeCell="L50" sqref="L50"/>
    </sheetView>
  </sheetViews>
  <sheetFormatPr defaultRowHeight="14.25" x14ac:dyDescent="0.2"/>
  <cols>
    <col min="6" max="6" width="11.77734375" customWidth="1"/>
    <col min="7" max="7" width="22" customWidth="1"/>
    <col min="8" max="8" width="18.77734375" customWidth="1"/>
  </cols>
  <sheetData>
    <row r="6" spans="4:9" x14ac:dyDescent="0.2">
      <c r="D6" s="9"/>
      <c r="E6" s="9"/>
      <c r="F6" s="9"/>
      <c r="G6" s="9"/>
      <c r="H6" s="9"/>
      <c r="I6" s="9"/>
    </row>
    <row r="7" spans="4:9" x14ac:dyDescent="0.2">
      <c r="D7" s="9"/>
      <c r="E7" s="6" t="s">
        <v>0</v>
      </c>
      <c r="F7" s="6" t="s">
        <v>1</v>
      </c>
      <c r="G7" s="6" t="s">
        <v>232</v>
      </c>
      <c r="H7" s="6" t="s">
        <v>233</v>
      </c>
      <c r="I7" s="9"/>
    </row>
    <row r="8" spans="4:9" x14ac:dyDescent="0.2">
      <c r="D8" s="9"/>
      <c r="E8" s="7">
        <v>1</v>
      </c>
      <c r="F8" s="7" t="s">
        <v>234</v>
      </c>
      <c r="G8" s="8">
        <v>84.9</v>
      </c>
      <c r="H8" s="7">
        <v>2020</v>
      </c>
      <c r="I8" s="9"/>
    </row>
    <row r="9" spans="4:9" x14ac:dyDescent="0.2">
      <c r="D9" s="9"/>
      <c r="E9" s="7">
        <v>2</v>
      </c>
      <c r="F9" s="7" t="s">
        <v>235</v>
      </c>
      <c r="G9" s="8">
        <v>84.6</v>
      </c>
      <c r="H9" s="7">
        <v>2020</v>
      </c>
      <c r="I9" s="9"/>
    </row>
    <row r="10" spans="4:9" x14ac:dyDescent="0.2">
      <c r="D10" s="9"/>
      <c r="E10" s="7">
        <v>3</v>
      </c>
      <c r="F10" s="7" t="s">
        <v>236</v>
      </c>
      <c r="G10" s="8">
        <v>83.8</v>
      </c>
      <c r="H10" s="7">
        <v>2020</v>
      </c>
      <c r="I10" s="9"/>
    </row>
    <row r="11" spans="4:9" x14ac:dyDescent="0.2">
      <c r="D11" s="9"/>
      <c r="E11" s="7">
        <v>4</v>
      </c>
      <c r="F11" s="7" t="s">
        <v>237</v>
      </c>
      <c r="G11" s="8">
        <v>83.6</v>
      </c>
      <c r="H11" s="7">
        <v>2020</v>
      </c>
      <c r="I11" s="9"/>
    </row>
    <row r="12" spans="4:9" x14ac:dyDescent="0.2">
      <c r="D12" s="9"/>
      <c r="E12" s="7">
        <v>5</v>
      </c>
      <c r="F12" s="7" t="s">
        <v>238</v>
      </c>
      <c r="G12" s="8">
        <v>83.5</v>
      </c>
      <c r="H12" s="7">
        <v>2020</v>
      </c>
      <c r="I12" s="9"/>
    </row>
    <row r="13" spans="4:9" x14ac:dyDescent="0.2">
      <c r="D13" s="9"/>
      <c r="E13" s="7">
        <v>6</v>
      </c>
      <c r="F13" s="7" t="s">
        <v>239</v>
      </c>
      <c r="G13" s="8">
        <v>83.4</v>
      </c>
      <c r="H13" s="7">
        <v>2020</v>
      </c>
      <c r="I13" s="9"/>
    </row>
    <row r="14" spans="4:9" x14ac:dyDescent="0.2">
      <c r="D14" s="9"/>
      <c r="E14" s="7">
        <v>7</v>
      </c>
      <c r="F14" s="7" t="s">
        <v>240</v>
      </c>
      <c r="G14" s="8">
        <v>83.4</v>
      </c>
      <c r="H14" s="7">
        <v>2020</v>
      </c>
      <c r="I14" s="9"/>
    </row>
    <row r="15" spans="4:9" x14ac:dyDescent="0.2">
      <c r="D15" s="9"/>
      <c r="E15" s="7">
        <v>8</v>
      </c>
      <c r="F15" s="7" t="s">
        <v>241</v>
      </c>
      <c r="G15" s="8">
        <v>83</v>
      </c>
      <c r="H15" s="7">
        <v>2020</v>
      </c>
      <c r="I15" s="9"/>
    </row>
    <row r="16" spans="4:9" x14ac:dyDescent="0.2">
      <c r="D16" s="9"/>
      <c r="E16" s="7">
        <v>9</v>
      </c>
      <c r="F16" s="7" t="s">
        <v>242</v>
      </c>
      <c r="G16" s="8">
        <v>83</v>
      </c>
      <c r="H16" s="7">
        <v>2020</v>
      </c>
      <c r="I16" s="9"/>
    </row>
    <row r="17" spans="4:9" x14ac:dyDescent="0.2">
      <c r="D17" s="9"/>
      <c r="E17" s="7">
        <v>10</v>
      </c>
      <c r="F17" s="7" t="s">
        <v>243</v>
      </c>
      <c r="G17" s="8">
        <v>83</v>
      </c>
      <c r="H17" s="7">
        <v>2020</v>
      </c>
      <c r="I17" s="9"/>
    </row>
    <row r="18" spans="4:9" x14ac:dyDescent="0.2">
      <c r="D18" s="9"/>
      <c r="E18" s="9"/>
      <c r="F18" s="9"/>
      <c r="G18" s="9"/>
      <c r="H18" s="9"/>
      <c r="I18" s="9"/>
    </row>
    <row r="19" spans="4:9" x14ac:dyDescent="0.2">
      <c r="D19" s="9"/>
      <c r="E19" s="9"/>
      <c r="F19" s="9"/>
      <c r="G19" s="9"/>
      <c r="H19" s="9"/>
      <c r="I19" s="9"/>
    </row>
    <row r="20" spans="4:9" x14ac:dyDescent="0.2">
      <c r="D20" s="9"/>
      <c r="E20" s="9"/>
      <c r="F20" s="9"/>
      <c r="G20" s="9"/>
      <c r="H20" s="9"/>
      <c r="I20" s="9"/>
    </row>
    <row r="21" spans="4:9" x14ac:dyDescent="0.2">
      <c r="D21" s="9"/>
      <c r="E21" s="9"/>
      <c r="F21" s="9"/>
      <c r="G21" s="9"/>
      <c r="H21" s="9"/>
      <c r="I21" s="9"/>
    </row>
    <row r="22" spans="4:9" x14ac:dyDescent="0.2">
      <c r="D22" s="9"/>
      <c r="E22" s="9"/>
      <c r="F22" s="9"/>
      <c r="G22" s="9"/>
      <c r="H22" s="9"/>
      <c r="I22" s="9"/>
    </row>
    <row r="23" spans="4:9" x14ac:dyDescent="0.2">
      <c r="D23" s="9"/>
      <c r="E23" s="9"/>
      <c r="F23" s="9"/>
      <c r="G23" s="9"/>
      <c r="H23" s="9"/>
      <c r="I23" s="9"/>
    </row>
    <row r="24" spans="4:9" x14ac:dyDescent="0.2">
      <c r="D24" s="9"/>
      <c r="E24" s="9"/>
      <c r="F24" s="9"/>
      <c r="G24" s="9"/>
      <c r="H24" s="9"/>
      <c r="I24" s="9"/>
    </row>
    <row r="25" spans="4:9" x14ac:dyDescent="0.2">
      <c r="D25" s="9"/>
      <c r="E25" s="9"/>
      <c r="F25" s="9"/>
      <c r="G25" s="9"/>
      <c r="H25" s="9"/>
      <c r="I25" s="9"/>
    </row>
    <row r="26" spans="4:9" x14ac:dyDescent="0.2">
      <c r="D26" s="9"/>
      <c r="E26" s="9"/>
      <c r="F26" s="9"/>
      <c r="G26" s="9"/>
      <c r="H26" s="9"/>
      <c r="I26" s="9"/>
    </row>
    <row r="27" spans="4:9" x14ac:dyDescent="0.2">
      <c r="D27" s="9"/>
      <c r="E27" s="9"/>
      <c r="F27" s="9"/>
      <c r="G27" s="9"/>
      <c r="H27" s="9"/>
      <c r="I27" s="9"/>
    </row>
    <row r="28" spans="4:9" x14ac:dyDescent="0.2">
      <c r="D28" s="9"/>
      <c r="E28" s="9"/>
      <c r="F28" s="9"/>
      <c r="G28" s="9"/>
      <c r="H28" s="9"/>
      <c r="I28" s="9"/>
    </row>
    <row r="29" spans="4:9" x14ac:dyDescent="0.2">
      <c r="D29" s="9"/>
      <c r="E29" s="9"/>
      <c r="F29" s="9"/>
      <c r="G29" s="9"/>
      <c r="H29" s="9"/>
      <c r="I29" s="9"/>
    </row>
    <row r="30" spans="4:9" x14ac:dyDescent="0.2">
      <c r="D30" s="9"/>
      <c r="E30" s="9"/>
      <c r="F30" s="9"/>
      <c r="G30" s="9"/>
      <c r="H30" s="9"/>
      <c r="I30" s="9"/>
    </row>
    <row r="31" spans="4:9" x14ac:dyDescent="0.2">
      <c r="D31" s="9"/>
      <c r="E31" s="9"/>
      <c r="F31" s="9"/>
      <c r="G31" s="9"/>
      <c r="H31" s="9"/>
      <c r="I31" s="9"/>
    </row>
    <row r="32" spans="4:9" x14ac:dyDescent="0.2">
      <c r="D32" s="9"/>
      <c r="E32" s="9"/>
      <c r="F32" s="9"/>
      <c r="G32" s="9"/>
      <c r="H32" s="9"/>
      <c r="I32" s="9"/>
    </row>
    <row r="33" spans="4:9" x14ac:dyDescent="0.2">
      <c r="D33" s="9"/>
      <c r="E33" s="9"/>
      <c r="F33" s="9"/>
      <c r="G33" s="9"/>
      <c r="H33" s="9"/>
      <c r="I33" s="9"/>
    </row>
    <row r="34" spans="4:9" x14ac:dyDescent="0.2">
      <c r="D34" s="9"/>
      <c r="E34" s="9"/>
      <c r="F34" s="9"/>
      <c r="G34" s="9"/>
      <c r="H34" s="9"/>
      <c r="I34" s="9"/>
    </row>
    <row r="35" spans="4:9" x14ac:dyDescent="0.2">
      <c r="D35" s="9"/>
      <c r="E35" s="9"/>
      <c r="F35" s="9"/>
      <c r="G35" s="9"/>
      <c r="H35" s="9"/>
      <c r="I35" s="9"/>
    </row>
    <row r="36" spans="4:9" x14ac:dyDescent="0.2">
      <c r="D36" s="9"/>
      <c r="E36" s="9"/>
      <c r="F36" s="9"/>
      <c r="G36" s="9"/>
      <c r="H36" s="9"/>
      <c r="I36" s="9"/>
    </row>
    <row r="37" spans="4:9" x14ac:dyDescent="0.2">
      <c r="D37" s="9"/>
      <c r="E37" s="9"/>
      <c r="F37" s="9"/>
      <c r="G37" s="9"/>
      <c r="H37" s="9"/>
      <c r="I37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7"/>
  <dimension ref="A1:D75"/>
  <sheetViews>
    <sheetView workbookViewId="0">
      <selection activeCell="G23" sqref="G23"/>
    </sheetView>
  </sheetViews>
  <sheetFormatPr defaultRowHeight="14.25" x14ac:dyDescent="0.2"/>
  <cols>
    <col min="2" max="2" width="20" customWidth="1"/>
    <col min="3" max="3" width="19.109375" style="3" customWidth="1"/>
    <col min="4" max="4" width="19.21875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34</v>
      </c>
      <c r="B2" t="s">
        <v>295</v>
      </c>
      <c r="C2" s="3">
        <v>33000000</v>
      </c>
      <c r="D2">
        <v>2020</v>
      </c>
    </row>
    <row r="3" spans="1:4" x14ac:dyDescent="0.2">
      <c r="A3">
        <v>25</v>
      </c>
      <c r="B3" t="s">
        <v>296</v>
      </c>
      <c r="C3" s="3">
        <v>56725200</v>
      </c>
      <c r="D3">
        <v>2020</v>
      </c>
    </row>
    <row r="4" spans="1:4" x14ac:dyDescent="0.2">
      <c r="A4">
        <v>42</v>
      </c>
      <c r="B4" t="s">
        <v>240</v>
      </c>
      <c r="C4" s="3">
        <v>20570000</v>
      </c>
      <c r="D4">
        <v>2020</v>
      </c>
    </row>
    <row r="5" spans="1:4" x14ac:dyDescent="0.2">
      <c r="A5">
        <v>59</v>
      </c>
      <c r="B5" t="s">
        <v>340</v>
      </c>
      <c r="C5" s="3">
        <v>7000000</v>
      </c>
      <c r="D5">
        <v>2020</v>
      </c>
    </row>
    <row r="6" spans="1:4" x14ac:dyDescent="0.2">
      <c r="A6">
        <v>8</v>
      </c>
      <c r="B6" s="5" t="s">
        <v>346</v>
      </c>
      <c r="C6" s="3">
        <v>165615000</v>
      </c>
      <c r="D6">
        <v>2020</v>
      </c>
    </row>
    <row r="7" spans="1:4" x14ac:dyDescent="0.2">
      <c r="A7">
        <v>52</v>
      </c>
      <c r="B7" t="s">
        <v>257</v>
      </c>
      <c r="C7" s="3">
        <v>11822000</v>
      </c>
      <c r="D7">
        <v>2020</v>
      </c>
    </row>
    <row r="8" spans="1:4" x14ac:dyDescent="0.2">
      <c r="A8">
        <v>5</v>
      </c>
      <c r="B8" s="5" t="s">
        <v>307</v>
      </c>
      <c r="C8" s="3">
        <v>284200000</v>
      </c>
      <c r="D8">
        <v>2020</v>
      </c>
    </row>
    <row r="9" spans="1:4" x14ac:dyDescent="0.2">
      <c r="A9">
        <v>54</v>
      </c>
      <c r="B9" t="s">
        <v>316</v>
      </c>
      <c r="C9" s="3">
        <v>10454400</v>
      </c>
      <c r="D9">
        <v>2020</v>
      </c>
    </row>
    <row r="10" spans="1:4" x14ac:dyDescent="0.2">
      <c r="A10">
        <v>36</v>
      </c>
      <c r="B10" t="s">
        <v>248</v>
      </c>
      <c r="C10" s="3">
        <v>31210628</v>
      </c>
      <c r="D10">
        <v>2020</v>
      </c>
    </row>
    <row r="11" spans="1:4" x14ac:dyDescent="0.2">
      <c r="A11">
        <v>41</v>
      </c>
      <c r="B11" t="s">
        <v>266</v>
      </c>
      <c r="C11" s="3">
        <v>21000000</v>
      </c>
      <c r="D11">
        <v>2020</v>
      </c>
    </row>
    <row r="12" spans="1:4" x14ac:dyDescent="0.2">
      <c r="A12">
        <v>1</v>
      </c>
      <c r="B12" s="5" t="s">
        <v>294</v>
      </c>
      <c r="C12" s="3">
        <v>1598360000</v>
      </c>
      <c r="D12">
        <v>2020</v>
      </c>
    </row>
    <row r="13" spans="1:4" x14ac:dyDescent="0.2">
      <c r="A13">
        <v>23</v>
      </c>
      <c r="B13" t="s">
        <v>287</v>
      </c>
      <c r="C13" s="3">
        <v>57900472</v>
      </c>
      <c r="D13">
        <v>2020</v>
      </c>
    </row>
    <row r="14" spans="1:4" x14ac:dyDescent="0.2">
      <c r="A14">
        <v>71</v>
      </c>
      <c r="B14" t="s">
        <v>274</v>
      </c>
      <c r="C14" s="3">
        <v>1300000</v>
      </c>
      <c r="D14">
        <v>2020</v>
      </c>
    </row>
    <row r="15" spans="1:4" x14ac:dyDescent="0.2">
      <c r="A15">
        <v>58</v>
      </c>
      <c r="B15" t="s">
        <v>263</v>
      </c>
      <c r="C15" s="3">
        <v>7000000</v>
      </c>
      <c r="D15">
        <v>2020</v>
      </c>
    </row>
    <row r="16" spans="1:4" x14ac:dyDescent="0.2">
      <c r="A16">
        <v>48</v>
      </c>
      <c r="B16" t="s">
        <v>291</v>
      </c>
      <c r="C16" s="3">
        <v>15900000</v>
      </c>
      <c r="D16">
        <v>2020</v>
      </c>
    </row>
    <row r="17" spans="1:4" x14ac:dyDescent="0.2">
      <c r="A17">
        <v>15</v>
      </c>
      <c r="B17" s="5" t="s">
        <v>352</v>
      </c>
      <c r="C17" s="3">
        <v>95340000</v>
      </c>
      <c r="D17">
        <v>2020</v>
      </c>
    </row>
    <row r="18" spans="1:4" x14ac:dyDescent="0.2">
      <c r="A18">
        <v>70</v>
      </c>
      <c r="B18" t="s">
        <v>273</v>
      </c>
      <c r="C18" s="3">
        <v>1904000</v>
      </c>
      <c r="D18">
        <v>2020</v>
      </c>
    </row>
    <row r="19" spans="1:4" x14ac:dyDescent="0.2">
      <c r="A19">
        <v>45</v>
      </c>
      <c r="B19" t="s">
        <v>386</v>
      </c>
      <c r="C19" s="3">
        <v>18000000</v>
      </c>
      <c r="D19">
        <v>2020</v>
      </c>
    </row>
    <row r="20" spans="1:4" x14ac:dyDescent="0.2">
      <c r="A20">
        <v>56</v>
      </c>
      <c r="B20" t="s">
        <v>255</v>
      </c>
      <c r="C20" s="3">
        <v>9470000</v>
      </c>
      <c r="D20">
        <v>2020</v>
      </c>
    </row>
    <row r="21" spans="1:4" x14ac:dyDescent="0.2">
      <c r="A21">
        <v>20</v>
      </c>
      <c r="B21" s="5" t="s">
        <v>245</v>
      </c>
      <c r="C21" s="3">
        <v>72180000</v>
      </c>
      <c r="D21">
        <v>2020</v>
      </c>
    </row>
    <row r="22" spans="1:4" x14ac:dyDescent="0.2">
      <c r="A22">
        <v>11</v>
      </c>
      <c r="B22" s="5" t="s">
        <v>259</v>
      </c>
      <c r="C22" s="3">
        <v>107000000</v>
      </c>
      <c r="D22">
        <v>2020</v>
      </c>
    </row>
    <row r="23" spans="1:4" x14ac:dyDescent="0.2">
      <c r="A23">
        <v>46</v>
      </c>
      <c r="B23" t="s">
        <v>328</v>
      </c>
      <c r="C23" s="3">
        <v>17571895</v>
      </c>
      <c r="D23">
        <v>2020</v>
      </c>
    </row>
    <row r="24" spans="1:4" x14ac:dyDescent="0.2">
      <c r="A24">
        <v>44</v>
      </c>
      <c r="B24" t="s">
        <v>234</v>
      </c>
      <c r="C24" s="3">
        <v>19207578</v>
      </c>
      <c r="D24">
        <v>2020</v>
      </c>
    </row>
    <row r="25" spans="1:4" x14ac:dyDescent="0.2">
      <c r="A25">
        <v>53</v>
      </c>
      <c r="B25" t="s">
        <v>292</v>
      </c>
      <c r="C25" s="3">
        <v>11561890</v>
      </c>
      <c r="D25">
        <v>2020</v>
      </c>
    </row>
    <row r="26" spans="1:4" x14ac:dyDescent="0.2">
      <c r="A26">
        <v>2</v>
      </c>
      <c r="B26" s="5" t="s">
        <v>371</v>
      </c>
      <c r="C26" s="3">
        <v>1281971713</v>
      </c>
      <c r="D26">
        <v>2020</v>
      </c>
    </row>
    <row r="27" spans="1:4" x14ac:dyDescent="0.2">
      <c r="A27">
        <v>3</v>
      </c>
      <c r="B27" s="5" t="s">
        <v>357</v>
      </c>
      <c r="C27" s="3">
        <v>385573398</v>
      </c>
      <c r="D27">
        <v>2020</v>
      </c>
    </row>
    <row r="28" spans="1:4" x14ac:dyDescent="0.2">
      <c r="A28">
        <v>14</v>
      </c>
      <c r="B28" s="5" t="s">
        <v>297</v>
      </c>
      <c r="C28" s="3">
        <v>96165000</v>
      </c>
      <c r="D28">
        <v>2020</v>
      </c>
    </row>
    <row r="29" spans="1:4" x14ac:dyDescent="0.2">
      <c r="A29">
        <v>62</v>
      </c>
      <c r="B29" t="s">
        <v>249</v>
      </c>
      <c r="C29" s="3">
        <v>5770638</v>
      </c>
      <c r="D29">
        <v>2020</v>
      </c>
    </row>
    <row r="30" spans="1:4" x14ac:dyDescent="0.2">
      <c r="A30">
        <v>55</v>
      </c>
      <c r="B30" t="s">
        <v>242</v>
      </c>
      <c r="C30" s="3">
        <v>9701200</v>
      </c>
      <c r="D30">
        <v>2020</v>
      </c>
    </row>
    <row r="31" spans="1:4" x14ac:dyDescent="0.2">
      <c r="A31">
        <v>16</v>
      </c>
      <c r="B31" s="5" t="s">
        <v>239</v>
      </c>
      <c r="C31" s="3">
        <v>88580000</v>
      </c>
      <c r="D31">
        <v>2020</v>
      </c>
    </row>
    <row r="32" spans="1:4" x14ac:dyDescent="0.2">
      <c r="A32">
        <v>10</v>
      </c>
      <c r="B32" s="5" t="s">
        <v>235</v>
      </c>
      <c r="C32" s="3">
        <v>146649600</v>
      </c>
      <c r="D32">
        <v>2020</v>
      </c>
    </row>
    <row r="33" spans="1:4" x14ac:dyDescent="0.2">
      <c r="A33">
        <v>61</v>
      </c>
      <c r="B33" t="s">
        <v>324</v>
      </c>
      <c r="C33" s="3">
        <v>6010000</v>
      </c>
      <c r="D33">
        <v>2020</v>
      </c>
    </row>
    <row r="34" spans="1:4" x14ac:dyDescent="0.2">
      <c r="A34">
        <v>39</v>
      </c>
      <c r="B34" t="s">
        <v>385</v>
      </c>
      <c r="C34" s="3">
        <v>28080000</v>
      </c>
      <c r="D34">
        <v>2020</v>
      </c>
    </row>
    <row r="35" spans="1:4" x14ac:dyDescent="0.2">
      <c r="A35">
        <v>68</v>
      </c>
      <c r="B35" t="s">
        <v>313</v>
      </c>
      <c r="C35" s="3">
        <v>2579000</v>
      </c>
      <c r="D35">
        <v>2020</v>
      </c>
    </row>
    <row r="36" spans="1:4" x14ac:dyDescent="0.2">
      <c r="A36">
        <v>67</v>
      </c>
      <c r="B36" t="s">
        <v>271</v>
      </c>
      <c r="C36" s="3">
        <v>2720000</v>
      </c>
      <c r="D36">
        <v>2020</v>
      </c>
    </row>
    <row r="37" spans="1:4" x14ac:dyDescent="0.2">
      <c r="A37">
        <v>63</v>
      </c>
      <c r="B37" t="s">
        <v>305</v>
      </c>
      <c r="C37" s="3">
        <v>4940000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73</v>
      </c>
      <c r="B39" t="s">
        <v>272</v>
      </c>
      <c r="C39" s="3">
        <v>776716</v>
      </c>
      <c r="D39">
        <v>2020</v>
      </c>
    </row>
    <row r="40" spans="1:4" x14ac:dyDescent="0.2">
      <c r="A40">
        <v>74</v>
      </c>
      <c r="B40" t="s">
        <v>246</v>
      </c>
      <c r="C40" s="3">
        <v>554651</v>
      </c>
      <c r="D40">
        <v>2020</v>
      </c>
    </row>
    <row r="41" spans="1:4" x14ac:dyDescent="0.2">
      <c r="A41">
        <v>13</v>
      </c>
      <c r="B41" s="5" t="s">
        <v>317</v>
      </c>
      <c r="C41" s="3">
        <v>101339000</v>
      </c>
      <c r="D41">
        <v>2020</v>
      </c>
    </row>
    <row r="42" spans="1:4" x14ac:dyDescent="0.2">
      <c r="A42">
        <v>65</v>
      </c>
      <c r="B42" t="s">
        <v>367</v>
      </c>
      <c r="C42" s="3">
        <v>3500000</v>
      </c>
      <c r="D42">
        <v>2020</v>
      </c>
    </row>
    <row r="43" spans="1:4" x14ac:dyDescent="0.2">
      <c r="A43">
        <v>72</v>
      </c>
      <c r="B43" t="s">
        <v>293</v>
      </c>
      <c r="C43" s="3">
        <v>1117500</v>
      </c>
      <c r="D43">
        <v>2020</v>
      </c>
    </row>
    <row r="44" spans="1:4" x14ac:dyDescent="0.2">
      <c r="A44">
        <v>30</v>
      </c>
      <c r="B44" t="s">
        <v>300</v>
      </c>
      <c r="C44" s="3">
        <v>44450000</v>
      </c>
      <c r="D44">
        <v>2020</v>
      </c>
    </row>
    <row r="45" spans="1:4" x14ac:dyDescent="0.2">
      <c r="A45">
        <v>33</v>
      </c>
      <c r="B45" t="s">
        <v>363</v>
      </c>
      <c r="C45" s="3">
        <v>34172058</v>
      </c>
      <c r="D45">
        <v>2020</v>
      </c>
    </row>
    <row r="46" spans="1:4" x14ac:dyDescent="0.2">
      <c r="A46">
        <v>43</v>
      </c>
      <c r="B46" t="s">
        <v>250</v>
      </c>
      <c r="C46" s="3">
        <v>20000000</v>
      </c>
      <c r="D46">
        <v>2020</v>
      </c>
    </row>
    <row r="47" spans="1:4" x14ac:dyDescent="0.2">
      <c r="A47">
        <v>64</v>
      </c>
      <c r="B47" t="s">
        <v>251</v>
      </c>
      <c r="C47" s="3">
        <v>4761000</v>
      </c>
      <c r="D47">
        <v>2020</v>
      </c>
    </row>
    <row r="48" spans="1:4" x14ac:dyDescent="0.2">
      <c r="A48">
        <v>7</v>
      </c>
      <c r="B48" s="5" t="s">
        <v>424</v>
      </c>
      <c r="C48" s="3">
        <v>167371945</v>
      </c>
      <c r="D48">
        <v>2020</v>
      </c>
    </row>
    <row r="49" spans="1:4" x14ac:dyDescent="0.2">
      <c r="A49">
        <v>66</v>
      </c>
      <c r="B49" t="s">
        <v>435</v>
      </c>
      <c r="C49" s="3">
        <v>3000000</v>
      </c>
      <c r="D49">
        <v>2020</v>
      </c>
    </row>
    <row r="50" spans="1:4" x14ac:dyDescent="0.2">
      <c r="A50">
        <v>9</v>
      </c>
      <c r="B50" s="5" t="s">
        <v>381</v>
      </c>
      <c r="C50" s="3">
        <v>165405847</v>
      </c>
      <c r="D50">
        <v>2020</v>
      </c>
    </row>
    <row r="51" spans="1:4" x14ac:dyDescent="0.2">
      <c r="A51">
        <v>60</v>
      </c>
      <c r="B51" t="s">
        <v>278</v>
      </c>
      <c r="C51" s="3">
        <v>6900000</v>
      </c>
      <c r="D51">
        <v>2020</v>
      </c>
    </row>
    <row r="52" spans="1:4" x14ac:dyDescent="0.2">
      <c r="A52">
        <v>32</v>
      </c>
      <c r="B52" t="s">
        <v>298</v>
      </c>
      <c r="C52" s="3">
        <v>34235000</v>
      </c>
      <c r="D52">
        <v>2020</v>
      </c>
    </row>
    <row r="53" spans="1:4" x14ac:dyDescent="0.2">
      <c r="A53">
        <v>12</v>
      </c>
      <c r="B53" s="5" t="s">
        <v>360</v>
      </c>
      <c r="C53" s="3">
        <v>106987098</v>
      </c>
      <c r="D53">
        <v>2020</v>
      </c>
    </row>
    <row r="54" spans="1:4" x14ac:dyDescent="0.2">
      <c r="A54">
        <v>28</v>
      </c>
      <c r="B54" t="s">
        <v>275</v>
      </c>
      <c r="C54" s="3">
        <v>47153200</v>
      </c>
      <c r="D54">
        <v>2020</v>
      </c>
    </row>
    <row r="55" spans="1:4" x14ac:dyDescent="0.2">
      <c r="A55">
        <v>51</v>
      </c>
      <c r="B55" t="s">
        <v>254</v>
      </c>
      <c r="C55" s="3">
        <v>13400000</v>
      </c>
      <c r="D55">
        <v>2020</v>
      </c>
    </row>
    <row r="56" spans="1:4" x14ac:dyDescent="0.2">
      <c r="A56">
        <v>40</v>
      </c>
      <c r="B56" t="s">
        <v>303</v>
      </c>
      <c r="C56" s="3">
        <v>26000000</v>
      </c>
      <c r="D56">
        <v>2020</v>
      </c>
    </row>
    <row r="57" spans="1:4" x14ac:dyDescent="0.2">
      <c r="A57">
        <v>6</v>
      </c>
      <c r="B57" s="5" t="s">
        <v>345</v>
      </c>
      <c r="C57" s="3">
        <v>256116000</v>
      </c>
      <c r="D57">
        <v>2020</v>
      </c>
    </row>
    <row r="58" spans="1:4" x14ac:dyDescent="0.2">
      <c r="A58">
        <v>29</v>
      </c>
      <c r="B58" t="s">
        <v>315</v>
      </c>
      <c r="C58" s="3">
        <v>46000000</v>
      </c>
      <c r="D58">
        <v>2020</v>
      </c>
    </row>
    <row r="59" spans="1:4" x14ac:dyDescent="0.2">
      <c r="A59">
        <v>57</v>
      </c>
      <c r="B59" t="s">
        <v>237</v>
      </c>
      <c r="C59" s="3">
        <v>8106700</v>
      </c>
      <c r="D59">
        <v>2020</v>
      </c>
    </row>
    <row r="60" spans="1:4" x14ac:dyDescent="0.2">
      <c r="A60">
        <v>22</v>
      </c>
      <c r="B60" t="s">
        <v>398</v>
      </c>
      <c r="C60" s="3">
        <v>59474500</v>
      </c>
      <c r="D60">
        <v>2020</v>
      </c>
    </row>
    <row r="61" spans="1:4" x14ac:dyDescent="0.2">
      <c r="A61">
        <v>26</v>
      </c>
      <c r="B61" t="s">
        <v>243</v>
      </c>
      <c r="C61" s="3">
        <v>56004887</v>
      </c>
      <c r="D61">
        <v>2020</v>
      </c>
    </row>
    <row r="62" spans="1:4" x14ac:dyDescent="0.2">
      <c r="A62">
        <v>27</v>
      </c>
      <c r="B62" t="s">
        <v>238</v>
      </c>
      <c r="C62" s="3">
        <v>55740000</v>
      </c>
      <c r="D62">
        <v>2020</v>
      </c>
    </row>
    <row r="63" spans="1:4" x14ac:dyDescent="0.2">
      <c r="A63">
        <v>31</v>
      </c>
      <c r="B63" t="s">
        <v>289</v>
      </c>
      <c r="C63" s="3">
        <v>38849812</v>
      </c>
      <c r="D63">
        <v>2020</v>
      </c>
    </row>
    <row r="64" spans="1:4" x14ac:dyDescent="0.2">
      <c r="A64">
        <v>49</v>
      </c>
      <c r="B64" t="s">
        <v>244</v>
      </c>
      <c r="C64" s="3">
        <v>14500000</v>
      </c>
      <c r="D64">
        <v>2020</v>
      </c>
    </row>
    <row r="65" spans="1:4" x14ac:dyDescent="0.2">
      <c r="A65">
        <v>38</v>
      </c>
      <c r="B65" t="s">
        <v>434</v>
      </c>
      <c r="C65" s="3">
        <v>28610000</v>
      </c>
      <c r="D65">
        <v>2020</v>
      </c>
    </row>
    <row r="66" spans="1:4" x14ac:dyDescent="0.2">
      <c r="A66">
        <v>21</v>
      </c>
      <c r="B66" t="s">
        <v>288</v>
      </c>
      <c r="C66" s="3">
        <v>69000000</v>
      </c>
      <c r="D66">
        <v>2020</v>
      </c>
    </row>
    <row r="67" spans="1:4" x14ac:dyDescent="0.2">
      <c r="A67">
        <v>69</v>
      </c>
      <c r="B67" t="s">
        <v>336</v>
      </c>
      <c r="C67" s="3">
        <v>2060000</v>
      </c>
      <c r="D67">
        <v>2020</v>
      </c>
    </row>
    <row r="68" spans="1:4" x14ac:dyDescent="0.2">
      <c r="A68">
        <v>19</v>
      </c>
      <c r="B68" s="5" t="s">
        <v>283</v>
      </c>
      <c r="C68" s="3">
        <v>72200000</v>
      </c>
      <c r="D68">
        <v>2020</v>
      </c>
    </row>
    <row r="69" spans="1:4" x14ac:dyDescent="0.2">
      <c r="A69">
        <v>24</v>
      </c>
      <c r="B69" t="s">
        <v>349</v>
      </c>
      <c r="C69" s="3">
        <v>57505555</v>
      </c>
      <c r="D69">
        <v>2020</v>
      </c>
    </row>
    <row r="70" spans="1:4" x14ac:dyDescent="0.2">
      <c r="A70">
        <v>47</v>
      </c>
      <c r="B70" t="s">
        <v>280</v>
      </c>
      <c r="C70" s="3">
        <v>17132724</v>
      </c>
      <c r="D70">
        <v>2020</v>
      </c>
    </row>
    <row r="71" spans="1:4" x14ac:dyDescent="0.2">
      <c r="A71">
        <v>17</v>
      </c>
      <c r="B71" s="5" t="s">
        <v>260</v>
      </c>
      <c r="C71" s="3">
        <v>83100000</v>
      </c>
      <c r="D71">
        <v>2020</v>
      </c>
    </row>
    <row r="72" spans="1:4" x14ac:dyDescent="0.2">
      <c r="A72">
        <v>4</v>
      </c>
      <c r="B72" s="5" t="s">
        <v>270</v>
      </c>
      <c r="C72" s="3">
        <v>327577529</v>
      </c>
      <c r="D72">
        <v>2020</v>
      </c>
    </row>
    <row r="73" spans="1:4" x14ac:dyDescent="0.2">
      <c r="A73">
        <v>35</v>
      </c>
      <c r="B73" t="s">
        <v>351</v>
      </c>
      <c r="C73" s="3">
        <v>32019086</v>
      </c>
      <c r="D73">
        <v>2020</v>
      </c>
    </row>
    <row r="74" spans="1:4" x14ac:dyDescent="0.2">
      <c r="A74">
        <v>18</v>
      </c>
      <c r="B74" s="5" t="s">
        <v>311</v>
      </c>
      <c r="C74" s="3">
        <v>72300000</v>
      </c>
      <c r="D74">
        <v>2020</v>
      </c>
    </row>
    <row r="75" spans="1:4" x14ac:dyDescent="0.2">
      <c r="A75">
        <v>50</v>
      </c>
      <c r="B75" t="s">
        <v>411</v>
      </c>
      <c r="C75" s="3">
        <v>13518887</v>
      </c>
      <c r="D75">
        <v>2020</v>
      </c>
    </row>
  </sheetData>
  <sortState xmlns:xlrd2="http://schemas.microsoft.com/office/spreadsheetml/2017/richdata2" ref="A2:D75">
    <sortCondition descending="1" ref="C2:C75"/>
  </sortState>
  <dataConsolidate function="max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fdc9729-7387-4118-bd15-c4d3b850b9bb">
      <UserInfo>
        <DisplayName>Yusuf Satilmis</DisplayName>
        <AccountId>186</AccountId>
        <AccountType/>
      </UserInfo>
    </SharedWithUsers>
    <TaxCatchAll xmlns="ffdc9729-7387-4118-bd15-c4d3b850b9bb" xsi:nil="true"/>
    <lcf76f155ced4ddcb4097134ff3c332f xmlns="a144dc44-0ae1-4751-b05a-058a8e53b508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B8C294F86A141B7F9AEB464C5B08E" ma:contentTypeVersion="15" ma:contentTypeDescription="Create a new document." ma:contentTypeScope="" ma:versionID="f8524431a576056a919717446b64f44a">
  <xsd:schema xmlns:xsd="http://www.w3.org/2001/XMLSchema" xmlns:xs="http://www.w3.org/2001/XMLSchema" xmlns:p="http://schemas.microsoft.com/office/2006/metadata/properties" xmlns:ns2="a144dc44-0ae1-4751-b05a-058a8e53b508" xmlns:ns3="ffdc9729-7387-4118-bd15-c4d3b850b9bb" targetNamespace="http://schemas.microsoft.com/office/2006/metadata/properties" ma:root="true" ma:fieldsID="7dcb07d8e4cf51c9e27df67dc0c526f3" ns2:_="" ns3:_="">
    <xsd:import namespace="a144dc44-0ae1-4751-b05a-058a8e53b508"/>
    <xsd:import namespace="ffdc9729-7387-4118-bd15-c4d3b850b9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4dc44-0ae1-4751-b05a-058a8e53b5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dc9729-7387-4118-bd15-c4d3b850b9b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b3c471b-71d0-4db9-b960-15bf15c997e7}" ma:internalName="TaxCatchAll" ma:showField="CatchAllData" ma:web="ffdc9729-7387-4118-bd15-c4d3b850b9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DF5A09-5F0E-44B2-B612-6198397DDF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499A31-22AC-4A2E-8898-834B7514DB84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terms/"/>
    <ds:schemaRef ds:uri="http://purl.org/dc/elements/1.1/"/>
    <ds:schemaRef ds:uri="http://schemas.openxmlformats.org/package/2006/metadata/core-properties"/>
    <ds:schemaRef ds:uri="ffdc9729-7387-4118-bd15-c4d3b850b9bb"/>
    <ds:schemaRef ds:uri="a144dc44-0ae1-4751-b05a-058a8e53b50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A129D2C-A328-4990-82EF-59807695B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4dc44-0ae1-4751-b05a-058a8e53b508"/>
    <ds:schemaRef ds:uri="ffdc9729-7387-4118-bd15-c4d3b850b9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</vt:vector>
  </HeadingPairs>
  <TitlesOfParts>
    <vt:vector size="8" baseType="lpstr">
      <vt:lpstr>GDP</vt:lpstr>
      <vt:lpstr>GDP (2)</vt:lpstr>
      <vt:lpstr>Top 20 Ranked for 2019</vt:lpstr>
      <vt:lpstr>Life Expectancy</vt:lpstr>
      <vt:lpstr>Sheet1</vt:lpstr>
      <vt:lpstr>Smartphones</vt:lpstr>
      <vt:lpstr>Chart3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Balbir Lehto</cp:lastModifiedBy>
  <cp:revision/>
  <cp:lastPrinted>2023-10-01T20:52:37Z</cp:lastPrinted>
  <dcterms:created xsi:type="dcterms:W3CDTF">2018-10-30T15:44:39Z</dcterms:created>
  <dcterms:modified xsi:type="dcterms:W3CDTF">2023-10-03T22:40:26Z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0x010100DE6B8C294F86A141B7F9AEB464C5B08E</vt:lpwstr>
  </property>
</Properties>
</file>